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PA"/>
    <sheet r:id="rId2" sheetId="2" name="Regras de Utilização"/>
    <sheet r:id="rId3" sheetId="3" name="Pressupostos"/>
    <sheet r:id="rId4" sheetId="4" name="VN"/>
    <sheet r:id="rId5" sheetId="5" name="CMVMC"/>
    <sheet r:id="rId6" sheetId="6" name="FSE"/>
    <sheet r:id="rId7" sheetId="7" name="Gastos com Pessoal"/>
    <sheet r:id="rId8" sheetId="8" name="FundoManeio"/>
    <sheet r:id="rId9" sheetId="9" name="Investimento"/>
    <sheet r:id="rId10" sheetId="10" name="Financiamento"/>
    <sheet r:id="rId11" sheetId="11" name="Ponto Crítico"/>
    <sheet r:id="rId12" sheetId="12" name="DR"/>
    <sheet r:id="rId13" sheetId="13" name="Cash Flow"/>
    <sheet r:id="rId14" sheetId="14" name="PlanoFinanceiro"/>
    <sheet r:id="rId15" sheetId="15" name="Balanço"/>
    <sheet r:id="rId16" sheetId="16" name="Indicadores"/>
    <sheet r:id="rId17" sheetId="17" name="Avaliação"/>
    <sheet r:id="rId18" sheetId="18" name="Calculos Auxil- livre"/>
    <sheet r:id="rId19" sheetId="19" name="F livre"/>
  </sheets>
  <definedNames>
    <definedName name="anscount">1</definedName>
    <definedName name="_xlnm.Print_Area" localSheetId="16">Avaliação!$A$1:$I$76</definedName>
    <definedName name="_xlnm.Print_Area" localSheetId="14">Balanço!$A$1:$H$51</definedName>
    <definedName name="_xlnm.Print_Area" localSheetId="17">'Calculos Auxil- livre'!$A$1:$H$91</definedName>
    <definedName name="_xlnm.Print_Area" localSheetId="12">'Cash Flow'!$A$1:$H$23</definedName>
    <definedName name="_xlnm.Print_Area" localSheetId="4">CMVMC!$A$1:$H$29</definedName>
    <definedName name="_xlnm.Print_Area" localSheetId="11">DR!$A$1:$G$32</definedName>
    <definedName name="_xlnm.Print_Area" localSheetId="9">Financiamento!$A$1:$H$104</definedName>
    <definedName name="_xlnm.Print_Area" localSheetId="5">FSE!$A$1:$K$53</definedName>
    <definedName name="_xlnm.Print_Area" localSheetId="7">FundoManeio!$A$1:$H$27</definedName>
    <definedName name="_xlnm.Print_Area" localSheetId="6">'Gastos com Pessoal'!$A$1:$I$102</definedName>
    <definedName name="_xlnm.Print_Area" localSheetId="15">Indicadores!$A$1:$G$28</definedName>
    <definedName name="_xlnm.Print_Area" localSheetId="8">Investimento!$A$1:$H$168</definedName>
    <definedName name="_xlnm.Print_Area" localSheetId="13">PlanoFinanceiro!$A$1:$H$35</definedName>
    <definedName name="_xlnm.Print_Area" localSheetId="10">'Ponto Crítico'!$A$1:$G$13</definedName>
    <definedName name="_xlnm.Print_Area" localSheetId="2">Pressupostos!$A$1:$E$45</definedName>
    <definedName name="_xlnm.Print_Area" localSheetId="1">'Regras de Utilização'!$B$1:$C$37</definedName>
    <definedName name="_xlnm.Print_Area" localSheetId="3">VN!$A$1:$H$88</definedName>
    <definedName name="Bu">[1]INPUT!$B$10</definedName>
    <definedName name="DC">[1]INPUT!$B$8</definedName>
    <definedName name="EXHIBIT_01">#REF!</definedName>
    <definedName name="EXHIBIT_02" localSheetId="17">#REF!</definedName>
    <definedName name="EXHIBIT_02" localSheetId="10">#REF!</definedName>
    <definedName name="EXHIBIT_02">#REF!</definedName>
    <definedName name="EXHIBIT_05" localSheetId="17">#REF!</definedName>
    <definedName name="EXHIBIT_05" localSheetId="10">#REF!</definedName>
    <definedName name="EXHIBIT_05">#REF!</definedName>
    <definedName name="EXHIBIT_06" localSheetId="17">#REF!</definedName>
    <definedName name="EXHIBIT_06" localSheetId="10">#REF!</definedName>
    <definedName name="EXHIBIT_06">#REF!</definedName>
    <definedName name="EXHIBIT_07" localSheetId="17">#REF!</definedName>
    <definedName name="EXHIBIT_07" localSheetId="10">#REF!</definedName>
    <definedName name="EXHIBIT_07">#REF!</definedName>
    <definedName name="EXHIBIT_08" localSheetId="17">#REF!</definedName>
    <definedName name="EXHIBIT_08" localSheetId="10">#REF!</definedName>
    <definedName name="EXHIBIT_08">#REF!</definedName>
    <definedName name="new_proj">'[2]Novos Projectos'!$A$3:$A$57</definedName>
    <definedName name="Pm">[1]INPUT!$B$6</definedName>
    <definedName name="Rd">[1]INPUT!$B$4</definedName>
    <definedName name="t">[1]INPUT!$B$7</definedName>
    <definedName name="TD">[1]INPUT!$B$9</definedName>
    <definedName name="_xlnm.Print_Titles" localSheetId="9">Financiamento!$1:$6</definedName>
    <definedName name="_xlnm.Print_Titles" localSheetId="6">'Gastos com Pessoal'!$1:$4</definedName>
    <definedName name="_xlnm.Print_Titles" localSheetId="3">VN!$1:$5</definedName>
    <definedName name="VARa">[1]INPUT!$B$12</definedName>
  </definedNames>
  <calcPr fullCalcOnLoad="1"/>
</workbook>
</file>

<file path=xl/sharedStrings.xml><?xml version="1.0" encoding="utf-8"?>
<sst xmlns="http://schemas.openxmlformats.org/spreadsheetml/2006/main" count="725" uniqueCount="507">
  <si>
    <t>VALOR RESIDUAL</t>
  </si>
  <si>
    <t>SENSIBILIDADE</t>
  </si>
  <si>
    <t>SIMULAÇÃO</t>
  </si>
  <si>
    <t>Base</t>
  </si>
  <si>
    <t>Qv</t>
  </si>
  <si>
    <t>Preço</t>
  </si>
  <si>
    <t>Custo ??</t>
  </si>
  <si>
    <t>VAL</t>
  </si>
  <si>
    <t>TIR</t>
  </si>
  <si>
    <t>PR</t>
  </si>
  <si>
    <t>BASE</t>
  </si>
  <si>
    <t>Variação</t>
  </si>
  <si>
    <t>Empresa:</t>
  </si>
  <si>
    <t>Cálculos Auxiliares</t>
  </si>
  <si>
    <t>Consumo de Unidades de Matérias-Primas por Unidade de Produto Acabado</t>
  </si>
  <si>
    <t>Matérias-Primas e Subsidiárias (Discriminação)</t>
  </si>
  <si>
    <t>Unidade de Medida</t>
  </si>
  <si>
    <t>Produto A</t>
  </si>
  <si>
    <t>Produto B</t>
  </si>
  <si>
    <t>Produto C</t>
  </si>
  <si>
    <t>Produto D</t>
  </si>
  <si>
    <t>Produção (em Quantidades)</t>
  </si>
  <si>
    <t>Unidades físicas</t>
  </si>
  <si>
    <t>Produtos</t>
  </si>
  <si>
    <t>TOTAL</t>
  </si>
  <si>
    <t>Consumo de Matérias-Primas 1*</t>
  </si>
  <si>
    <t>Unidades Físicas</t>
  </si>
  <si>
    <t>Matérias-Primas e Subsidiárias</t>
  </si>
  <si>
    <t>Preço das Matérias-Primas e Subsidiárias</t>
  </si>
  <si>
    <t xml:space="preserve">Matérias-Primas e Subsidiárias </t>
  </si>
  <si>
    <t>Valor do consumo 2*</t>
  </si>
  <si>
    <t>1* Obtido da  multiplicação da produção pelo consumo de matéria-prima por unidade de produto acabado.</t>
  </si>
  <si>
    <t>2* Obtido da multiplicação do consumo das matérias-primas pelo preço.</t>
  </si>
  <si>
    <t>Avaliação do Projeto / Empresa</t>
  </si>
  <si>
    <t>Na Perspetiva do Investimento (pré-financiamento = 100% CP)</t>
  </si>
  <si>
    <t>CF</t>
  </si>
  <si>
    <t>CF Acum</t>
  </si>
  <si>
    <t xml:space="preserve"> ' + 1. ou + 2. Por defeito    = 2.</t>
  </si>
  <si>
    <t>Ano 0</t>
  </si>
  <si>
    <t>Free Cash Flow to Firm</t>
  </si>
  <si>
    <t>Ano 1</t>
  </si>
  <si>
    <t>Ano 2</t>
  </si>
  <si>
    <t>Taxa de Atualização  Rcp = Ru = RF+Bu*(Rm-Rf)</t>
  </si>
  <si>
    <t>Ano 3</t>
  </si>
  <si>
    <t>Fator de Atualização</t>
  </si>
  <si>
    <t>Ano 4</t>
  </si>
  <si>
    <t>Ano 5</t>
  </si>
  <si>
    <t>Fluxos Atualizados</t>
  </si>
  <si>
    <t>Fluxos Atualizados Acumulados</t>
  </si>
  <si>
    <t>***</t>
  </si>
  <si>
    <t>Valor Residual ano N</t>
  </si>
  <si>
    <t>Valor Atual Líquido (VAL)</t>
  </si>
  <si>
    <r>
      <t/>
    </r>
    <r>
      <rPr>
        <b/>
        <sz val="9"/>
        <color rgb="FF333399"/>
        <rFont val="Arial Narrow"/>
        <family val="2"/>
      </rPr>
      <t>1.</t>
    </r>
    <r>
      <rPr>
        <sz val="8"/>
        <color rgb="FF333399"/>
        <rFont val="Arial Narrow"/>
        <family val="2"/>
      </rPr>
      <t xml:space="preserve"> PERPETUIDADE a crescer à taxa g em N+1</t>
    </r>
  </si>
  <si>
    <t>ou</t>
  </si>
  <si>
    <t>Taxa Interna de Rendibilidade</t>
  </si>
  <si>
    <r>
      <t>2.</t>
    </r>
    <r>
      <rPr>
        <b/>
        <sz val="6"/>
        <color rgb="FF333399"/>
        <rFont val="Arial Narrow"/>
        <family val="2"/>
      </rPr>
      <t>Ativo não depreciado + F.Maneio</t>
    </r>
  </si>
  <si>
    <t>Pay Back Period (Arred. Ano Inteiro)</t>
  </si>
  <si>
    <t>Anos</t>
  </si>
  <si>
    <t>Meses</t>
  </si>
  <si>
    <t>Se versão excell for em inglês, meter na fórmula do Preríodo de Recuperação, o termo "false" em vez de "falso"</t>
  </si>
  <si>
    <t>Cálc. Manual</t>
  </si>
  <si>
    <r>
      <t xml:space="preserve">Na Perspetiva do Investimento (pós-financiamento)
</t>
    </r>
    <r>
      <rPr>
        <b/>
        <sz val="8"/>
        <color rgb="FFffffff"/>
        <rFont val="Arial Narrow"/>
        <family val="2"/>
      </rPr>
      <t>Taxa Atualização=Custo Médio Ponderado do Capital - wacc)</t>
    </r>
  </si>
  <si>
    <r>
      <t xml:space="preserve">Custo médio ponderado capital = Rcp*CP%+Rca*(1-ti)*CA%  </t>
    </r>
    <r>
      <rPr>
        <b/>
        <i/>
        <sz val="8"/>
        <color rgb="FF0000ff"/>
        <rFont val="Calibri"/>
        <family val="2"/>
        <scheme val="minor"/>
      </rPr>
      <t xml:space="preserve"> (Rcp com </t>
    </r>
    <r>
      <rPr>
        <i/>
        <sz val="8"/>
        <color rgb="FF0000ff"/>
        <rFont val="Calibri"/>
        <family val="2"/>
        <scheme val="minor"/>
      </rPr>
      <t>BP 100%CP)</t>
    </r>
  </si>
  <si>
    <r>
      <t/>
    </r>
    <r>
      <rPr>
        <b/>
        <sz val="8"/>
        <color rgb="FF333399"/>
        <rFont val="Arial Narrow"/>
        <family val="2"/>
      </rPr>
      <t>2.</t>
    </r>
    <r>
      <rPr>
        <sz val="8"/>
        <color rgb="FF333399"/>
        <rFont val="Arial Narrow"/>
        <family val="2"/>
      </rPr>
      <t xml:space="preserve"> (Ativo Cap Fixo não depreciado N + Fundo de Maneio Necessário N)/ Fator Atualiz. (h32*(1+I31))</t>
    </r>
  </si>
  <si>
    <t>Na Perspetiva do Investidor/accionista - Ótica do Cap. Próprio</t>
  </si>
  <si>
    <r>
      <t xml:space="preserve">Free Cash Flow do Equity </t>
    </r>
    <r>
      <rPr>
        <i/>
        <sz val="8"/>
        <color theme="1"/>
        <rFont val="Arial Narrow"/>
        <family val="2"/>
      </rPr>
      <t xml:space="preserve">= </t>
    </r>
    <r>
      <rPr>
        <i/>
        <sz val="8"/>
        <color rgb="FF0000ff"/>
        <rFont val="Arial Narrow"/>
        <family val="2"/>
      </rPr>
      <t>CF operac + CF investimento + CF financiamento</t>
    </r>
  </si>
  <si>
    <t>Taxa de Atualização =  Rcp = Ru = RF+Bu*(Rm-Rf)</t>
  </si>
  <si>
    <t>Valor Residual = Cap. Próprio no último ano</t>
  </si>
  <si>
    <r>
      <t/>
    </r>
    <r>
      <rPr>
        <b/>
        <sz val="9"/>
        <color rgb="FF333399"/>
        <rFont val="Arial Narrow"/>
        <family val="2"/>
      </rPr>
      <t>1.</t>
    </r>
    <r>
      <rPr>
        <sz val="8"/>
        <color rgb="FF333399"/>
        <rFont val="Arial Narrow"/>
        <family val="2"/>
      </rPr>
      <t xml:space="preserve"> PERPETUIDADE a crescer à taxa g</t>
    </r>
  </si>
  <si>
    <r>
      <t/>
    </r>
    <r>
      <rPr>
        <b/>
        <sz val="8"/>
        <color rgb="FF333399"/>
        <rFont val="Arial Narrow"/>
        <family val="2"/>
      </rPr>
      <t>2.</t>
    </r>
    <r>
      <rPr>
        <sz val="8"/>
        <color rgb="FF333399"/>
        <rFont val="Arial Narrow"/>
        <family val="2"/>
      </rPr>
      <t xml:space="preserve"> </t>
    </r>
    <r>
      <rPr>
        <b/>
        <sz val="8"/>
        <color rgb="FF333399"/>
        <rFont val="Arial Narrow"/>
        <family val="2"/>
      </rPr>
      <t>Cap Próprio N</t>
    </r>
    <r>
      <rPr>
        <sz val="8"/>
        <color rgb="FF333399"/>
        <rFont val="Arial Narrow"/>
        <family val="2"/>
      </rPr>
      <t xml:space="preserve"> [ou </t>
    </r>
    <r>
      <rPr>
        <sz val="6"/>
        <color rgb="FF333399"/>
        <rFont val="Arial Narrow"/>
        <family val="2"/>
      </rPr>
      <t>(Ativo não depreciado + F.Maneio -Passivo) ]</t>
    </r>
    <r>
      <rPr>
        <b/>
        <sz val="8"/>
        <color rgb="FF333399"/>
        <rFont val="Arial Narrow"/>
        <family val="2"/>
      </rPr>
      <t>/ (h54*(1+I53))</t>
    </r>
  </si>
  <si>
    <t>TAXAS DE ATUALIZAÇÃO</t>
  </si>
  <si>
    <t>Custo do capital próprio (CAPM)  = Rcp = Rf + Bu*(Rm-Rf)</t>
  </si>
  <si>
    <t>Taxa de Juro de Ativos Sem Risco</t>
  </si>
  <si>
    <t>Prémio de Risco de Mercado</t>
  </si>
  <si>
    <t>Taxa de Atualização  Rcp = Rf + Bu*(Rm-Rf) com Bu</t>
  </si>
  <si>
    <t>-</t>
  </si>
  <si>
    <t>Financiamento</t>
  </si>
  <si>
    <r>
      <t xml:space="preserve">Custo Financiamento                                           </t>
    </r>
    <r>
      <rPr>
        <b/>
        <sz val="8"/>
        <color rgb="FF0066cc"/>
        <rFont val="Arial Narrow"/>
        <family val="2"/>
      </rPr>
      <t>j</t>
    </r>
  </si>
  <si>
    <r>
      <t xml:space="preserve">Custo Financiamento com Efeito Fiscal              </t>
    </r>
    <r>
      <rPr>
        <b/>
        <sz val="8"/>
        <color rgb="FF0066cc"/>
        <rFont val="Arial Narrow"/>
        <family val="2"/>
      </rPr>
      <t>(1-t)*j</t>
    </r>
  </si>
  <si>
    <t xml:space="preserve">Cálculo do CMPCP (wacc)  (ótica do investimento) </t>
  </si>
  <si>
    <t>ESTRUTURA DO FINANCIAMENTO DO PROJETO</t>
  </si>
  <si>
    <t>Ano 0 - Sem atividade*</t>
  </si>
  <si>
    <t>Passivo Remunerado</t>
  </si>
  <si>
    <t>Capital Próprio</t>
  </si>
  <si>
    <t>% Passivo Remunerado</t>
  </si>
  <si>
    <t>% Capital Próprio</t>
  </si>
  <si>
    <t>* Se há atividade no ano inicial, considerar a estrutura inicial de financiamento</t>
  </si>
  <si>
    <r>
      <t>CMPCP (wacc)  (ótica do investimento) = Rcp*CP%+Rca*(1-ti)*CA%     (Rcp com Bu)</t>
    </r>
    <r>
      <rPr>
        <b/>
        <i/>
        <sz val="8"/>
        <color rgb="FF0000ff"/>
        <rFont val="Arial Narrow"/>
        <family val="2"/>
      </rPr>
      <t xml:space="preserve"> (=Bp otica 100% cap próprio)</t>
    </r>
  </si>
  <si>
    <t>Rcp = Rf+Bu*(Rm-Rf)</t>
  </si>
  <si>
    <r>
      <t xml:space="preserve">Custo do Financiamento Líquido  = </t>
    </r>
    <r>
      <rPr>
        <b/>
        <sz val="8"/>
        <color rgb="FF0000ff"/>
        <rFont val="Arial Narrow"/>
        <family val="2"/>
      </rPr>
      <t>(1-t)*j</t>
    </r>
  </si>
  <si>
    <t>cmpcp com cash flows líquidos de financiamento  Rcp*CP%+Rca*(1-ti)*CA%</t>
  </si>
  <si>
    <t>CMPCP (wacc)  (ótica do investimento) = Rcp*CP%+Rca*(1-ti)*CA%     (Rcp com Bp - Beta do projeto)</t>
  </si>
  <si>
    <t>Não utilizado</t>
  </si>
  <si>
    <r>
      <t xml:space="preserve">Beta p = </t>
    </r>
    <r>
      <rPr>
        <b/>
        <i/>
        <sz val="9"/>
        <color rgb="FFffffff"/>
        <rFont val="Calibri"/>
        <family val="2"/>
        <scheme val="minor"/>
      </rPr>
      <t>B</t>
    </r>
    <r>
      <rPr>
        <b/>
        <sz val="9"/>
        <color rgb="FFffffff"/>
        <rFont val="Calibri"/>
        <family val="2"/>
        <scheme val="minor"/>
      </rPr>
      <t>u * (1+(1-t)*CA/CP) para cálc. alternativo</t>
    </r>
  </si>
  <si>
    <t>Considera-se Bu = Bu ano inicial, não influenciado por oscilações sucessivas da estrutura de capital</t>
  </si>
  <si>
    <r>
      <t>Custo Capital  Rcp = Rf+</t>
    </r>
    <r>
      <rPr>
        <b/>
        <i/>
        <sz val="8"/>
        <color rgb="FFffffff"/>
        <rFont val="Arial Narrow"/>
        <family val="2"/>
      </rPr>
      <t>Bp</t>
    </r>
    <r>
      <rPr>
        <sz val="8"/>
        <color rgb="FFffffff"/>
        <rFont val="Arial Narrow"/>
        <family val="2"/>
      </rPr>
      <t xml:space="preserve">*(Rm-Rf)  </t>
    </r>
  </si>
  <si>
    <t>Custo Médio Ponderado do Capital (wacc) = Rcp*CP% + j*(1-t)*CA%</t>
  </si>
  <si>
    <t>Considera-se wacc t = wacc 0 u ano inicial, não influenciado por oscilações sucessivas da estrutura de capital</t>
  </si>
  <si>
    <t>Principais Indicadores</t>
  </si>
  <si>
    <t>INDICADORES ECONÓMICOS</t>
  </si>
  <si>
    <t>Taxa de Crescimento do Negócio</t>
  </si>
  <si>
    <t>Rendibilidade Líquida sobre as Vendas</t>
  </si>
  <si>
    <t>INDICADORES ECONÓMICO-FINANCEIROS</t>
  </si>
  <si>
    <t>Return On Investment (ROI)</t>
  </si>
  <si>
    <t>Rendibilidade do Ativo</t>
  </si>
  <si>
    <t>Rotação do Ativo</t>
  </si>
  <si>
    <t>Rendibilidade dos Capitais Próprios (ROE)</t>
  </si>
  <si>
    <t>INDICADORES FINANCEIROS</t>
  </si>
  <si>
    <t>Autonomia Financeira</t>
  </si>
  <si>
    <t>Solvabilidade Total</t>
  </si>
  <si>
    <t>Cobertura dos Encargos Financeiros</t>
  </si>
  <si>
    <t>INDICADORES DE LIQUIDEZ</t>
  </si>
  <si>
    <t>Liquidez Corrente</t>
  </si>
  <si>
    <t>Liquidez Reduzida</t>
  </si>
  <si>
    <t>INDICADORES DE RISCO DE NEGÓCIO</t>
  </si>
  <si>
    <t>Margem Bruta</t>
  </si>
  <si>
    <t>Grau de Alavanca Operacional</t>
  </si>
  <si>
    <t>Grau de Alavanca Financeira</t>
  </si>
  <si>
    <t>Balanço Previsional</t>
  </si>
  <si>
    <t>ATIVO</t>
  </si>
  <si>
    <t>Ativo Não Corrente</t>
  </si>
  <si>
    <t>Ativos Fixos Tangíveis</t>
  </si>
  <si>
    <t>Propriedades de Investimento</t>
  </si>
  <si>
    <t>Ativos Intangíveis</t>
  </si>
  <si>
    <t>Investimentos Financeiros</t>
  </si>
  <si>
    <t>Ativo Corrente</t>
  </si>
  <si>
    <t>Inventários</t>
  </si>
  <si>
    <t>Clientes</t>
  </si>
  <si>
    <t>Estado e Outros Entes Públicos</t>
  </si>
  <si>
    <t>Acionistas/Sócios</t>
  </si>
  <si>
    <t>Outras Contas a Receber</t>
  </si>
  <si>
    <t>Diferimentos</t>
  </si>
  <si>
    <t>Caixa e Depósitos Bancários</t>
  </si>
  <si>
    <t>TOTAL ATIVO</t>
  </si>
  <si>
    <t>CAPITAL PRÓPRIO</t>
  </si>
  <si>
    <t>Capital realizado</t>
  </si>
  <si>
    <t>Ações (Quotas Próprias)</t>
  </si>
  <si>
    <t>Outros Instrumentos de Capital Próprio</t>
  </si>
  <si>
    <t>Reservas</t>
  </si>
  <si>
    <t>Excedentes de Revalorização</t>
  </si>
  <si>
    <t>Outras Variações no Capital Próprio</t>
  </si>
  <si>
    <t>Resultado Líquido do Período</t>
  </si>
  <si>
    <t>TOTAL DO CAPITAL PRÓPRIO</t>
  </si>
  <si>
    <t>PASSIVO</t>
  </si>
  <si>
    <t>Passivo Não Corrente</t>
  </si>
  <si>
    <t>Provisões</t>
  </si>
  <si>
    <t>Financiamentos Obtidos</t>
  </si>
  <si>
    <t>Outras Contas a Pagar</t>
  </si>
  <si>
    <t>Passivo Corrente</t>
  </si>
  <si>
    <t>Fornecedores</t>
  </si>
  <si>
    <t>TOTAL PASSIVO</t>
  </si>
  <si>
    <t>TOTAL PASSIVO + CAPITAIS PRÓPRIOS</t>
  </si>
  <si>
    <t>Plano de Financiamento</t>
  </si>
  <si>
    <t>ORIGENS DE FUNDOS</t>
  </si>
  <si>
    <t>Meios Libertos Brutos</t>
  </si>
  <si>
    <t>Capital Social (Entrada de Fundos)</t>
  </si>
  <si>
    <t>Outros Instrumentos de Capital</t>
  </si>
  <si>
    <t>Empréstimos Obtidos</t>
  </si>
  <si>
    <t>Desinvest. em Capital Fixo</t>
  </si>
  <si>
    <t>Desinvest. em FMN</t>
  </si>
  <si>
    <t>Proveitos Financeiros</t>
  </si>
  <si>
    <t>Total das Origens</t>
  </si>
  <si>
    <t>APLICAÇÕES DE FUNDOS</t>
  </si>
  <si>
    <t>Inv. Capital Fixo</t>
  </si>
  <si>
    <t>Inv. Fundo de Maneio</t>
  </si>
  <si>
    <t xml:space="preserve">Imposto sobre os Lucros </t>
  </si>
  <si>
    <t xml:space="preserve">Pagamento de Dividendos </t>
  </si>
  <si>
    <t>Reembolso de Empréstimos</t>
  </si>
  <si>
    <t>Encargos Financeiros</t>
  </si>
  <si>
    <t>Total das Aplicações</t>
  </si>
  <si>
    <t>Saldo de Tesouraria Anual</t>
  </si>
  <si>
    <t>Saldo de Tesouraria Acumulado</t>
  </si>
  <si>
    <t>Aplicações/Empréstimo Curto Prazo</t>
  </si>
  <si>
    <t>Soma Controlo</t>
  </si>
  <si>
    <t>Mapa de Cash Flows Operacionais</t>
  </si>
  <si>
    <t>Meios Libertos do Projeto</t>
  </si>
  <si>
    <t>Resultados Operacionais (EBIT) x (1-IRC)</t>
  </si>
  <si>
    <t>Depreciações e Amortizações</t>
  </si>
  <si>
    <t>Provisões do Exercício</t>
  </si>
  <si>
    <t>Investim./Desinvest. em Fundo Maneio</t>
  </si>
  <si>
    <t xml:space="preserve">   Fundo de Maneio</t>
  </si>
  <si>
    <t>CASH FLOW de Exploração</t>
  </si>
  <si>
    <t>Investim./Desinvest. em Capital Fixo</t>
  </si>
  <si>
    <t xml:space="preserve">   Capital Fixo</t>
  </si>
  <si>
    <t>Free Cash Flow</t>
  </si>
  <si>
    <t>CASH FLOW Acumulado</t>
  </si>
  <si>
    <t>Demonstração de Resultados Previsional</t>
  </si>
  <si>
    <t>Vendas e Serviços Prestados</t>
  </si>
  <si>
    <t>Subsídios à Exploração</t>
  </si>
  <si>
    <t>Ganhos/Perdas Imputados de Subsidiárias, Associadas e Empreendimentos Conjuntos</t>
  </si>
  <si>
    <t>Variação nos Inventários da Produção</t>
  </si>
  <si>
    <t>Trabalhos para a Própria Entidade</t>
  </si>
  <si>
    <t>CMVMC</t>
  </si>
  <si>
    <t>Fornecimento e Serviços Externos</t>
  </si>
  <si>
    <t>Gastos com o Pessoal</t>
  </si>
  <si>
    <t>Imparidade de Inventários (Perdas/Reversões)</t>
  </si>
  <si>
    <t>Imparidade de Dívidas a Receber (Perdas/Reversões)</t>
  </si>
  <si>
    <t>Provisões (Aumentos/Reduções)</t>
  </si>
  <si>
    <t>Imparidade de Investimentos Não Depreciáveis/Amortizáveis (Perdas/Reversões)</t>
  </si>
  <si>
    <t>Aumentos/Reduções de Justo Valor</t>
  </si>
  <si>
    <t>Outros Rendimentos e Ganhos</t>
  </si>
  <si>
    <t>Outros Gastos e Perdas</t>
  </si>
  <si>
    <t>EBITDA (Resultado antes de Depreciações, Gastos de Financiamento e Impostos)</t>
  </si>
  <si>
    <t>Gastos/Reversões de Depreciação e Amortização</t>
  </si>
  <si>
    <t>Imparidade de Ativos Depreciáveis/Amortizáveis (Perdas/Reversões)</t>
  </si>
  <si>
    <t>EBIT (Resultado Operacional)</t>
  </si>
  <si>
    <t>Juros e Rendimentos Similares Obtidos</t>
  </si>
  <si>
    <t>Juros e Gastos Similares Suportados</t>
  </si>
  <si>
    <t>RESULTADO ANTES DE IMPOSTOS</t>
  </si>
  <si>
    <t>Imposto sobre o Rendimento do Período</t>
  </si>
  <si>
    <t>RESULTADO LÍQUIDO DO PERÍODO</t>
  </si>
  <si>
    <t>Ponto Crítico Operacional Previsional</t>
  </si>
  <si>
    <t>FSE Variáveis</t>
  </si>
  <si>
    <t>Margem Bruta de Contribuição</t>
  </si>
  <si>
    <t>Ponto Crítico</t>
  </si>
  <si>
    <t xml:space="preserve">Investimento </t>
  </si>
  <si>
    <t>Margem de Segurança</t>
  </si>
  <si>
    <t>Necessidades de Financiamento</t>
  </si>
  <si>
    <t>Fontes de Financiamento</t>
  </si>
  <si>
    <t>Meios Libertos</t>
  </si>
  <si>
    <t xml:space="preserve">Capital </t>
  </si>
  <si>
    <t xml:space="preserve">Empréstimos de Sócios </t>
  </si>
  <si>
    <t>Financiamento Bancário e Outras Inst. Crédito</t>
  </si>
  <si>
    <t>Subsídios</t>
  </si>
  <si>
    <t xml:space="preserve">TOTAL </t>
  </si>
  <si>
    <t>N.º de Anos Reembolso</t>
  </si>
  <si>
    <t>Taxa de Juro Associada</t>
  </si>
  <si>
    <t>N.º Anos de Carência</t>
  </si>
  <si>
    <t>Capital em Dívida (Início Período)</t>
  </si>
  <si>
    <t>Taxa de Juro</t>
  </si>
  <si>
    <t>Juro Anual</t>
  </si>
  <si>
    <t>Reembolso Anual</t>
  </si>
  <si>
    <t>Imposto Selo (4%)</t>
  </si>
  <si>
    <t>Serviço da Dívida</t>
  </si>
  <si>
    <t>Valor em Dívida</t>
  </si>
  <si>
    <t>Valor em Divida</t>
  </si>
  <si>
    <t>Capital em Dívida</t>
  </si>
  <si>
    <t>Juros Pagos com Imposto Selo Incluído</t>
  </si>
  <si>
    <t>Reembolso</t>
  </si>
  <si>
    <t>Investimento</t>
  </si>
  <si>
    <t>Investimento por Ano</t>
  </si>
  <si>
    <t>Terrenos e Recursos Naturais</t>
  </si>
  <si>
    <t>Edifícios e Outras Construções</t>
  </si>
  <si>
    <t>Outras Propriedades de Investimento</t>
  </si>
  <si>
    <t>Total Propriedades de Investimento</t>
  </si>
  <si>
    <t>Equipamento  Básico</t>
  </si>
  <si>
    <t>Equipamento de Transporte</t>
  </si>
  <si>
    <t>Equipamento Administrativo</t>
  </si>
  <si>
    <t>Equipamentos Biológicos</t>
  </si>
  <si>
    <t>Outros Ativos Fixos Tangíveis</t>
  </si>
  <si>
    <t>Total Ativos Fixos Tangíveis</t>
  </si>
  <si>
    <t>Goodwill</t>
  </si>
  <si>
    <t>Projetos de Desenvolvimento</t>
  </si>
  <si>
    <t>Programas de Computador</t>
  </si>
  <si>
    <t>Propriedade Industrial</t>
  </si>
  <si>
    <t>Outros Ativos Intangíveis</t>
  </si>
  <si>
    <t>Total Ativos Intangíveis</t>
  </si>
  <si>
    <t>Total Investimento</t>
  </si>
  <si>
    <t>N.º Meses Atividade/Produção</t>
  </si>
  <si>
    <t>IVA</t>
  </si>
  <si>
    <t xml:space="preserve">Valores Acumulados </t>
  </si>
  <si>
    <t xml:space="preserve">   Terrenos e Recursos Naturais</t>
  </si>
  <si>
    <t xml:space="preserve">   Edifícios e Outras Construções</t>
  </si>
  <si>
    <t xml:space="preserve">   Equipamento  Básico</t>
  </si>
  <si>
    <t xml:space="preserve">   Equipamento de Transporte</t>
  </si>
  <si>
    <t xml:space="preserve">   Equipamento Administrativo</t>
  </si>
  <si>
    <t xml:space="preserve">   Equipamentos Biológicos</t>
  </si>
  <si>
    <t xml:space="preserve">   Outros Ativos Fixos Tangíveis</t>
  </si>
  <si>
    <t xml:space="preserve">Total </t>
  </si>
  <si>
    <t>Taxas de Depreciações e Amortizações</t>
  </si>
  <si>
    <t>Utilizar tabela "legal" de amortizações  e se necessário calcular Taxa médias por tipo de investimento</t>
  </si>
  <si>
    <t>* Nota: se a taxa a utilizar for 33,33%, colocar mais uma casa decimal, considerando 33,333%</t>
  </si>
  <si>
    <t>Depreciações e amortizações</t>
  </si>
  <si>
    <t>Propriedades de investimento</t>
  </si>
  <si>
    <t>Edificios e Outras construções</t>
  </si>
  <si>
    <t>Outras propriedades de investimento</t>
  </si>
  <si>
    <t>Activos fixos tangíveis</t>
  </si>
  <si>
    <t>Edificios e Outras Construções</t>
  </si>
  <si>
    <t>Equipamento básico</t>
  </si>
  <si>
    <t>Equipamento de transporte</t>
  </si>
  <si>
    <t>Equipamento administrativo</t>
  </si>
  <si>
    <t>Equipamento biológicos</t>
  </si>
  <si>
    <t>Outros activos fixos tangiveis</t>
  </si>
  <si>
    <t>Activos Intangíveis</t>
  </si>
  <si>
    <t>Projectos de desenvolvimento</t>
  </si>
  <si>
    <t>Programas de computador</t>
  </si>
  <si>
    <t>Propriedade industrial</t>
  </si>
  <si>
    <t>Outros activos intangíveis</t>
  </si>
  <si>
    <t>Total Depreciações e Amortizações</t>
  </si>
  <si>
    <t>Depreciações e Amortizações Acumuladas</t>
  </si>
  <si>
    <t>Valores Balanço</t>
  </si>
  <si>
    <t>Investimento em Fundo Maneio Necessário</t>
  </si>
  <si>
    <t>Necessidades Fundo Maneio</t>
  </si>
  <si>
    <t>Reserva Segurança Tesouraria (valor fixo)</t>
  </si>
  <si>
    <t>Estado</t>
  </si>
  <si>
    <t>*</t>
  </si>
  <si>
    <t>Recursos Fundo Maneio</t>
  </si>
  <si>
    <t>Fundo Maneio Necessário</t>
  </si>
  <si>
    <t>Investimento em Fundo de Maneio</t>
  </si>
  <si>
    <t>* A considerar caso seja necessário</t>
  </si>
  <si>
    <t>ESTADO</t>
  </si>
  <si>
    <t>SS</t>
  </si>
  <si>
    <t>IRS</t>
  </si>
  <si>
    <t>N.º Meses (pagos em ano normal)</t>
  </si>
  <si>
    <t>Incremento Anual (Vencimentos + Sub. Almoço) %</t>
  </si>
  <si>
    <t>Meses de atividade da empresa (incluindo paragem em férias)</t>
  </si>
  <si>
    <t>Quadro de Pessoal (N.º Pessoas)</t>
  </si>
  <si>
    <t>Administração / Direção</t>
  </si>
  <si>
    <t>Administrativa / Financeira</t>
  </si>
  <si>
    <t>Comercial / Marketing</t>
  </si>
  <si>
    <t>Produção / Operacional</t>
  </si>
  <si>
    <t>Qualidade</t>
  </si>
  <si>
    <t>Manutenção</t>
  </si>
  <si>
    <t>Aprovisionamento</t>
  </si>
  <si>
    <t>Investigação e Desenvolvimento</t>
  </si>
  <si>
    <t>Outros</t>
  </si>
  <si>
    <t>Quadro de Pessoal (Meses de Trabalho incluindo Tempo Férias)</t>
  </si>
  <si>
    <t>Remuneração Base Mensal</t>
  </si>
  <si>
    <t>Remuneração Base Anual - TOTAL Colaboradores</t>
  </si>
  <si>
    <t>Outros Gastos</t>
  </si>
  <si>
    <t>Segurança Social</t>
  </si>
  <si>
    <t>Órgãos Sociais</t>
  </si>
  <si>
    <t>Pessoal</t>
  </si>
  <si>
    <t>Seguros Acidentes de Trabalho</t>
  </si>
  <si>
    <t>Subsídio Alimentação  - N.º Dias Úteis/Mês x Subsídio/Dia</t>
  </si>
  <si>
    <t>N.º Meses Subsídio Alimentação (Meses)</t>
  </si>
  <si>
    <t>Comissões &amp; Prémios</t>
  </si>
  <si>
    <t xml:space="preserve">Órgãos Sociais  </t>
  </si>
  <si>
    <t xml:space="preserve">Formação </t>
  </si>
  <si>
    <t>Outros Custos com Pessoal</t>
  </si>
  <si>
    <t>TOTAL OUTROS GASTOS</t>
  </si>
  <si>
    <t>TOTAL GASTOS COM PESSOAL</t>
  </si>
  <si>
    <t>QUADRO RESUMO</t>
  </si>
  <si>
    <t>Remunerações</t>
  </si>
  <si>
    <t>Encargos sobre Remunerações</t>
  </si>
  <si>
    <t>Seguros Acidentes de Trabalho e Doenças Profissionais</t>
  </si>
  <si>
    <t>Gastos de Ação Social</t>
  </si>
  <si>
    <t>Outros Gastos com Pessoal</t>
  </si>
  <si>
    <t>Retenções Colaboradores</t>
  </si>
  <si>
    <t>Retenção SS Colaborador</t>
  </si>
  <si>
    <t>Gerência / Administração</t>
  </si>
  <si>
    <t>Outro Pessoal</t>
  </si>
  <si>
    <t>Retenção IRS Colaborador</t>
  </si>
  <si>
    <t>TOTAL Retenções</t>
  </si>
  <si>
    <t>FSE - Fornecimentos e Serviços Externos</t>
  </si>
  <si>
    <t>N.º Meses de produção</t>
  </si>
  <si>
    <t>Taxa de Crescimento %</t>
  </si>
  <si>
    <t>Tx IVA</t>
  </si>
  <si>
    <t>CF %</t>
  </si>
  <si>
    <t>CV %</t>
  </si>
  <si>
    <t>Valor Mensal</t>
  </si>
  <si>
    <t>Subcontratos</t>
  </si>
  <si>
    <t>Serviços Especializados</t>
  </si>
  <si>
    <t>Trabalhos Especializados</t>
  </si>
  <si>
    <t>Publicidade e Propaganda</t>
  </si>
  <si>
    <t>Vigilância e Segurança</t>
  </si>
  <si>
    <t>Honorários</t>
  </si>
  <si>
    <t>Comissões</t>
  </si>
  <si>
    <t>Conservação e Reparação</t>
  </si>
  <si>
    <t>Materiais</t>
  </si>
  <si>
    <t>Ferramentas e Utensílios de Desgaste Rápido</t>
  </si>
  <si>
    <t>Livros e Documentação Técnica</t>
  </si>
  <si>
    <t>Material de Escritório</t>
  </si>
  <si>
    <t>Artigos para Oferta</t>
  </si>
  <si>
    <t>Energia e Fluidos</t>
  </si>
  <si>
    <t>Eletricidade</t>
  </si>
  <si>
    <t>Combustíveis</t>
  </si>
  <si>
    <t>Água</t>
  </si>
  <si>
    <t>Deslocações, Estadas e Transportes</t>
  </si>
  <si>
    <t>Deslocações e Estadas</t>
  </si>
  <si>
    <t>Transportes de Pessoal</t>
  </si>
  <si>
    <t>Transportes de Mercadorias</t>
  </si>
  <si>
    <t>Serviços Diversos</t>
  </si>
  <si>
    <t>Rendas e Alugueres</t>
  </si>
  <si>
    <t>Comunicação</t>
  </si>
  <si>
    <t>Seguros</t>
  </si>
  <si>
    <t>Royalties</t>
  </si>
  <si>
    <t>Contencioso e Notariado</t>
  </si>
  <si>
    <t>Despesas de Representação</t>
  </si>
  <si>
    <t>Limpeza, Higiene e Conforto</t>
  </si>
  <si>
    <t>Outros Serviços</t>
  </si>
  <si>
    <t xml:space="preserve">TOTAL FSE  </t>
  </si>
  <si>
    <t>FSE - Custos Fixos</t>
  </si>
  <si>
    <t>FSE - Custos Variáveis</t>
  </si>
  <si>
    <t>TOTAL FSE</t>
  </si>
  <si>
    <t>FSE + IVA</t>
  </si>
  <si>
    <t>EMPRESA:</t>
  </si>
  <si>
    <t>CMVMC - Custo das Mercadorias Vendidas e Matérias Consumidas</t>
  </si>
  <si>
    <t>Margem Bruta %</t>
  </si>
  <si>
    <t>MERCADO NACIONAL</t>
  </si>
  <si>
    <t>MERCADO EXTERNO</t>
  </si>
  <si>
    <t>TOTAL CMVMC</t>
  </si>
  <si>
    <t>TOTAL CMVMC + IVA</t>
  </si>
  <si>
    <t>NOTA 1: Mapa construído caso a caso:</t>
  </si>
  <si>
    <t>a) Introduzir a Margem Bruta diretamente, quando conhecida e passível de ser utilizada, ou efetuar a respetiva fórmula de cálculo;</t>
  </si>
  <si>
    <t>b) Efetuar os cálculos auxiliares considerados necessários para alcançar o nível de matéria-prima por unidade produzida e introduzir manualmente os valores;</t>
  </si>
  <si>
    <t>c) Caso não seja possível alcançar o nível do consumo de matéria-prima por produto, introduzir o valor do custo total, após a realização dos respetivos cálculos auxiliares.</t>
  </si>
  <si>
    <t>NOTA 2: Está disponível uma folha para cálculos auxiliares. Contém mapas para cálculo do CMVMC de projetos industriais.</t>
  </si>
  <si>
    <t>s</t>
  </si>
  <si>
    <t>Vendas + Prestações de Serviços</t>
  </si>
  <si>
    <t>Taxa de Variação dos Preços</t>
  </si>
  <si>
    <t>VENDAS - MERCADO NACIONAL</t>
  </si>
  <si>
    <t>Quantidades Vendidas</t>
  </si>
  <si>
    <t>Taxa de Crescimento das Unidades Vendidas</t>
  </si>
  <si>
    <t xml:space="preserve">Preço Unitário </t>
  </si>
  <si>
    <t>Produto C *</t>
  </si>
  <si>
    <t>Produto D *</t>
  </si>
  <si>
    <t>VENDAS - EXPORTAÇÃO</t>
  </si>
  <si>
    <t>* Produtos / Famílias de Produtos / Mercadorias</t>
  </si>
  <si>
    <t>NOTA: Caso não tenha conhecimento das quantidades, colocar o valor das vendas na linha das 'Quantidades Vendidas' e o valor 1 na linha do 'Preço Unitário'.</t>
  </si>
  <si>
    <t>PRESTAÇÕES DE SERVIÇOS - MERCADO NACIONAL</t>
  </si>
  <si>
    <t>Estudos</t>
  </si>
  <si>
    <t xml:space="preserve">Taxa de Crescimento </t>
  </si>
  <si>
    <t>Contratos de Consultoria e Assistência Técnica</t>
  </si>
  <si>
    <t>Serviços Diversos Não Especificados</t>
  </si>
  <si>
    <t>Outros Serviços Diversos Não Especificados</t>
  </si>
  <si>
    <t>PRESTAÇÕES DE SERVIÇOS - EXPORTAÇÕES</t>
  </si>
  <si>
    <t>TOTAL VENDAS - MERCADO NACIONAL</t>
  </si>
  <si>
    <t>TOTAL VENDAS - EXPORTAÇÕES</t>
  </si>
  <si>
    <t>TOTAL VENDAS</t>
  </si>
  <si>
    <t>IVA VENDAS</t>
  </si>
  <si>
    <t>TOTAL PRESTAÇÕES DE SERVIÇOS - MERCADO NACIONAL</t>
  </si>
  <si>
    <t>TOTAL PRESTAÇÕES DE SERVIÇOS - EXPORTAÇÕES</t>
  </si>
  <si>
    <t>TOTAL PRESTAÇÕES SERVIÇOS</t>
  </si>
  <si>
    <t>IVA PRESTAÇÕES DE SERVIÇOS</t>
  </si>
  <si>
    <t>TOTAL VOLUME DE NEGÓCIOS</t>
  </si>
  <si>
    <t>TOTAL VOLUME DE NEGÓCIOS + IVA</t>
  </si>
  <si>
    <t>Perdas por Imparidade                                                                %</t>
  </si>
  <si>
    <t>XFCP Lda</t>
  </si>
  <si>
    <t>Pressupostos Gerais</t>
  </si>
  <si>
    <t>Valide os pressupostos aqui indicados e ajuste-os de acordo com o seu projeto</t>
  </si>
  <si>
    <t>Unidade Monetária</t>
  </si>
  <si>
    <t>Euros</t>
  </si>
  <si>
    <t>Ano Inicial do Projeto (Ano 0)</t>
  </si>
  <si>
    <t xml:space="preserve"> = ano em que inicia o investimento e poderá ou não haver exploração</t>
  </si>
  <si>
    <t>Início da Produção ano/meses de produção (DEPRECIAÇÕES)</t>
  </si>
  <si>
    <t>Folha Investimento - Linha 31</t>
  </si>
  <si>
    <t>Prazo Médio de Recebimento (dias) / (meses)</t>
  </si>
  <si>
    <t>A definir em função da prática da empresa e do setor, assim como da política a prosseguir.</t>
  </si>
  <si>
    <t>Prazo Médio de Pagamento (dias) / (meses)</t>
  </si>
  <si>
    <t>Prazo Médio de Stockagem (dias) / (meses)</t>
  </si>
  <si>
    <r>
      <t xml:space="preserve">Prazo de Pagamento de IVA </t>
    </r>
    <r>
      <rPr>
        <b/>
        <sz val="8"/>
        <color rgb="FF333333"/>
        <rFont val="Arial Narrow"/>
        <family val="2"/>
      </rPr>
      <t xml:space="preserve"> (trim = 4; mensal =12)</t>
    </r>
  </si>
  <si>
    <t>4 = trim; 12 = mensal</t>
  </si>
  <si>
    <t xml:space="preserve">Taxa de IVA - Vendas </t>
  </si>
  <si>
    <t>Em função do tipo de produtos e serviços</t>
  </si>
  <si>
    <t>Taxa de IVA - Prestação Serviços</t>
  </si>
  <si>
    <t>Taxa de IVA - CMVMC</t>
  </si>
  <si>
    <t>Taxa de IVA - FSE</t>
  </si>
  <si>
    <t>Taxa de IVA - Investimento</t>
  </si>
  <si>
    <t>Taxa de Segurança Social - Entidade - Órgãos Sociais</t>
  </si>
  <si>
    <t>Em vigor no ano base</t>
  </si>
  <si>
    <t>Taxa de Segurança Social - Entidade - Colaboradores</t>
  </si>
  <si>
    <t>Taxa de Segurança Social - Pessoal - Órgãos Sociais</t>
  </si>
  <si>
    <t>Taxa de Segurança Social - Pessoal - Colaboradores</t>
  </si>
  <si>
    <t xml:space="preserve">Taxa Média de IRS </t>
  </si>
  <si>
    <t>A definir em função da Lei e do valor dos rendimentos do trabalho.</t>
  </si>
  <si>
    <t>Taxa de IRC</t>
  </si>
  <si>
    <t>Definido por Lei - ter em conta a localização e condições específicas da atividade.</t>
  </si>
  <si>
    <t>Taxa de Aplicações Financeiras Curto Prazo</t>
  </si>
  <si>
    <t>Ver condições de mercado e risco da empresa na ótica bancária.</t>
  </si>
  <si>
    <t>Taxa de Juro de Empréstimo Curto Prazo</t>
  </si>
  <si>
    <t>Taxa de Juro de Empréstimo ML Prazo</t>
  </si>
  <si>
    <t>Taxa de Juro de Ativos Sem Risco - Rf (Obrig.Tesouro)</t>
  </si>
  <si>
    <r>
      <t/>
    </r>
    <r>
      <rPr>
        <b/>
        <sz val="8"/>
        <color rgb="FF333399"/>
        <rFont val="Arial Narrow"/>
        <family val="2"/>
      </rPr>
      <t>NOTA:</t>
    </r>
    <r>
      <rPr>
        <sz val="8"/>
        <color rgb="FF333399"/>
        <rFont val="Arial Narrow"/>
        <family val="2"/>
      </rPr>
      <t xml:space="preserve"> Quando não se aplica </t>
    </r>
    <r>
      <rPr>
        <i/>
        <u/>
        <sz val="8"/>
        <color rgb="FF333399"/>
        <rFont val="Arial Narrow"/>
        <family val="2"/>
      </rPr>
      <t>Beta</t>
    </r>
    <r>
      <rPr>
        <sz val="8"/>
        <color rgb="FF333399"/>
        <rFont val="Arial Narrow"/>
        <family val="2"/>
      </rPr>
      <t xml:space="preserve">, colocar: </t>
    </r>
  </si>
  <si>
    <r>
      <t>Prémio de Risco de Mercado = (Rm</t>
    </r>
    <r>
      <rPr>
        <sz val="8"/>
        <color rgb="FF0000ff"/>
        <rFont val="Arial Narrow"/>
        <family val="2"/>
      </rPr>
      <t>*</t>
    </r>
    <r>
      <rPr>
        <sz val="8"/>
        <color theme="1"/>
        <rFont val="Arial Narrow"/>
        <family val="2"/>
      </rPr>
      <t xml:space="preserve">-Rf) </t>
    </r>
    <r>
      <rPr>
        <sz val="8"/>
        <color rgb="FF0000ff"/>
        <rFont val="Arial Narrow"/>
        <family val="2"/>
      </rPr>
      <t>**</t>
    </r>
  </si>
  <si>
    <t>Um valor para o prémio de risco (pº) adequado ao projeto</t>
  </si>
  <si>
    <t>Beta U a partir de BL de Empresa(s) de Referência</t>
  </si>
  <si>
    <t>Beta = 100% se não utilizar Beta  (não utilizar BL de empresa de referência)</t>
  </si>
  <si>
    <t>Taxa de Crescimento dos Cash Flows na Perpetuidade</t>
  </si>
  <si>
    <t xml:space="preserve">Na maioria dos projetos, considerar 0% e utilizar não a perpetuidade mas sim o valor residual = valor do Ativo Fixo não Amortizado e o Valor Residual do F. Maneio no último ano. Na folha 'Avaliação' existem as 2 hipóteses. </t>
  </si>
  <si>
    <r>
      <t/>
    </r>
    <r>
      <rPr>
        <sz val="8"/>
        <color rgb="FF0000ff"/>
        <rFont val="Arial Narrow"/>
        <family val="2"/>
      </rPr>
      <t xml:space="preserve">* </t>
    </r>
    <r>
      <rPr>
        <sz val="8"/>
        <color theme="1"/>
        <rFont val="Arial Narrow"/>
        <family val="2"/>
      </rPr>
      <t>Rm - Rendimento esperado de mercado (entenda-se mercado acionista de referência)</t>
    </r>
  </si>
  <si>
    <r>
      <t/>
    </r>
    <r>
      <rPr>
        <i/>
        <sz val="8"/>
        <color rgb="FF0000ff"/>
        <rFont val="Arial Narrow"/>
        <family val="2"/>
      </rPr>
      <t xml:space="preserve">** </t>
    </r>
    <r>
      <rPr>
        <i/>
        <sz val="8"/>
        <color theme="1"/>
        <rFont val="Arial Narrow"/>
        <family val="2"/>
      </rPr>
      <t>Em Portugal 2019 será razoável em investimentos "normais" 6% a 8%</t>
    </r>
  </si>
  <si>
    <t>Metodologias de avaliação</t>
  </si>
  <si>
    <t>(Para ver, abrir linha 44 até final do texto, com 2 clicks na célula)</t>
  </si>
  <si>
    <r>
      <t xml:space="preserve">O método dos fluxos de caixa descontados consiste em estimar os fluxos de caixa futuros do projeto e atualizá-los para o momento de avaliação, utilizando uma taxa de desconto (= taxa de atualização = custo do capital desejado pelo investidor) adequada em função do risco do projeto.
O Beta </t>
    </r>
    <r>
      <rPr>
        <b/>
        <i/>
        <sz val="8"/>
        <color rgb="FFffffff"/>
        <rFont val="Calibri"/>
        <family val="2"/>
        <scheme val="minor"/>
      </rPr>
      <t>B</t>
    </r>
    <r>
      <rPr>
        <sz val="8"/>
        <color rgb="FFffffff"/>
        <rFont val="Calibri"/>
        <family val="2"/>
        <scheme val="minor"/>
      </rPr>
      <t xml:space="preserve"> obtido duma empresa de referência (ou mais do que uma) cotada em Bolsa (pode ser a própria empresa que vai implementar o projeto) exprime o risco 
relativo da empresa em relação ao risco global de mercado - diz-se Beta da ação = relação de variação entre a cotação da empresa e a variação do Índice de mercado.  
          </t>
    </r>
    <r>
      <rPr>
        <b/>
        <i/>
        <sz val="10"/>
        <color rgb="FFffffff"/>
        <rFont val="Calibri"/>
        <family val="2"/>
        <scheme val="minor"/>
      </rPr>
      <t>B</t>
    </r>
    <r>
      <rPr>
        <b/>
        <sz val="10"/>
        <color rgb="FFffffff"/>
        <rFont val="Calibri"/>
        <family val="2"/>
        <scheme val="minor"/>
      </rPr>
      <t>ação = Covar(Rendibilid do Título;Rendibilid de mercado) / Var (Rendibilidade de mercado)</t>
    </r>
    <r>
      <rPr>
        <sz val="8"/>
        <color rgb="FFffffff"/>
        <rFont val="Calibri"/>
        <family val="2"/>
        <scheme val="minor"/>
      </rPr>
      <t xml:space="preserve">
</t>
    </r>
    <r>
      <rPr>
        <b/>
        <sz val="9"/>
        <color rgb="FFffff00"/>
        <rFont val="Calibri"/>
        <family val="2"/>
        <scheme val="minor"/>
      </rPr>
      <t>Free Cash Flow to da Firm</t>
    </r>
    <r>
      <rPr>
        <sz val="8"/>
        <color rgb="FFffffff"/>
        <rFont val="Calibri"/>
        <family val="2"/>
        <scheme val="minor"/>
      </rPr>
      <t xml:space="preserve">
βL pode ser &lt;,= ou &gt; 1, sendo o risco tamto maior quanto maior for BL.
O Beta assim obtido diz-se alavancado BL pelo que importa eliminar o efeito de alavancagem do Capital Alheio da empresa e obter asso o Beta deslavancado dito BU, para utilizar na avaliação de projetos  
BL   = BU x [1 + (1-ti) x (CA /CP)]   =&gt; </t>
    </r>
    <r>
      <rPr>
        <b/>
        <sz val="8"/>
        <color rgb="FFffffff"/>
        <rFont val="Calibri"/>
        <family val="2"/>
        <scheme val="minor"/>
      </rPr>
      <t xml:space="preserve">BU   = BL / [1 + (1-ti) x (CA /CP)]   </t>
    </r>
    <r>
      <rPr>
        <sz val="8"/>
        <color rgb="FFffffff"/>
        <rFont val="Calibri"/>
        <family val="2"/>
        <scheme val="minor"/>
      </rPr>
      <t xml:space="preserve">em que :  CA (ou P) - capital alheio; CP - Capital Prório  e ti - tx de imposto (irc)
</t>
    </r>
    <r>
      <rPr>
        <b/>
        <sz val="10"/>
        <color rgb="FFffffff"/>
        <rFont val="Calibri"/>
        <family val="2"/>
        <scheme val="minor"/>
      </rPr>
      <t>AVALIAÇÃO DO PROJETO</t>
    </r>
    <r>
      <rPr>
        <b/>
        <sz val="8"/>
        <color rgb="FFffffff"/>
        <rFont val="Calibri"/>
        <family val="2"/>
        <scheme val="minor"/>
      </rPr>
      <t xml:space="preserve">
- Calculam-se os Cash Flows Líquidos FCFF = CFL = EBITx(1-t)+Amortiz - Investimento (Capital Fixo - Fundo de Maneio Necessário) + valor residual investim. (ano n)
- Determina-se a Taxa de atualização (desconto, custo de capital) adequada à </t>
    </r>
    <r>
      <rPr>
        <b/>
        <u/>
        <sz val="8"/>
        <color rgb="FFffffff"/>
        <rFont val="Calibri"/>
        <family val="2"/>
        <scheme val="minor"/>
      </rPr>
      <t>ótica de avaliação</t>
    </r>
    <r>
      <rPr>
        <b/>
        <sz val="8"/>
        <color rgb="FFffffff"/>
        <rFont val="Calibri"/>
        <family val="2"/>
        <scheme val="minor"/>
      </rPr>
      <t xml:space="preserve"> considerada
</t>
    </r>
    <r>
      <rPr>
        <b/>
        <sz val="10"/>
        <color rgb="FFffffff"/>
        <rFont val="Calibri"/>
        <family val="2"/>
        <scheme val="minor"/>
      </rPr>
      <t>1.</t>
    </r>
    <r>
      <rPr>
        <sz val="10"/>
        <color rgb="FFffffff"/>
        <rFont val="Calibri"/>
        <family val="2"/>
        <scheme val="minor"/>
      </rPr>
      <t xml:space="preserve"> </t>
    </r>
    <r>
      <rPr>
        <b/>
        <u/>
        <sz val="10"/>
        <color rgb="FFffffff"/>
        <rFont val="Calibri"/>
        <family val="2"/>
        <scheme val="minor"/>
      </rPr>
      <t>Avaliação na ótica do investimento</t>
    </r>
    <r>
      <rPr>
        <b/>
        <u/>
        <sz val="8"/>
        <color rgb="FFffffff"/>
        <rFont val="Calibri"/>
        <family val="2"/>
        <scheme val="minor"/>
      </rPr>
      <t xml:space="preserve"> (pré-financiamento) </t>
    </r>
    <r>
      <rPr>
        <b/>
        <sz val="8"/>
        <color rgb="FFffffff"/>
        <rFont val="Calibri"/>
        <family val="2"/>
        <scheme val="minor"/>
      </rPr>
      <t xml:space="preserve">ignora a forma de financiamento o que equivale a </t>
    </r>
    <r>
      <rPr>
        <b/>
        <u/>
        <sz val="8"/>
        <color rgb="FFffffff"/>
        <rFont val="Calibri"/>
        <family val="2"/>
        <scheme val="minor"/>
      </rPr>
      <t>= 100% Cap Próprio</t>
    </r>
    <r>
      <rPr>
        <sz val="8"/>
        <color rgb="FFffffff"/>
        <rFont val="Calibri"/>
        <family val="2"/>
        <scheme val="minor"/>
      </rPr>
      <t xml:space="preserve">) </t>
    </r>
    <r>
      <rPr>
        <sz val="8"/>
        <color rgb="FFffffff"/>
        <rFont val="Calibri"/>
        <family val="2"/>
        <scheme val="minor"/>
      </rPr>
      <t xml:space="preserve">
   </t>
    </r>
    <r>
      <rPr>
        <b/>
        <sz val="8"/>
        <color rgb="FFffffff"/>
        <rFont val="Calibri"/>
        <family val="2"/>
        <scheme val="minor"/>
      </rPr>
      <t>A Taxa de atualização</t>
    </r>
    <r>
      <rPr>
        <sz val="8"/>
        <color rgb="FFffffff"/>
        <rFont val="Calibri"/>
        <family val="2"/>
        <scheme val="minor"/>
      </rPr>
      <t xml:space="preserve"> (desconto)  = </t>
    </r>
    <r>
      <rPr>
        <b/>
        <sz val="8"/>
        <color rgb="FFffffff"/>
        <rFont val="Calibri"/>
        <family val="2"/>
        <scheme val="minor"/>
      </rPr>
      <t xml:space="preserve">re = Rf + </t>
    </r>
    <r>
      <rPr>
        <b/>
        <i/>
        <sz val="8"/>
        <color rgb="FFffffff"/>
        <rFont val="Calibri"/>
        <family val="2"/>
        <scheme val="minor"/>
      </rPr>
      <t>B</t>
    </r>
    <r>
      <rPr>
        <b/>
        <sz val="8"/>
        <color rgb="FFffffff"/>
        <rFont val="Calibri"/>
        <family val="2"/>
        <scheme val="minor"/>
      </rPr>
      <t xml:space="preserve">u*(Rm - Rf). 
</t>
    </r>
    <r>
      <rPr>
        <b/>
        <sz val="10"/>
        <color rgb="FFffffff"/>
        <rFont val="Calibri"/>
        <family val="2"/>
        <scheme val="minor"/>
      </rPr>
      <t xml:space="preserve">2. </t>
    </r>
    <r>
      <rPr>
        <b/>
        <u/>
        <sz val="10"/>
        <color rgb="FFffffff"/>
        <rFont val="Calibri"/>
        <family val="2"/>
        <scheme val="minor"/>
      </rPr>
      <t xml:space="preserve">Avaliação na Ótica do Investiemnto pós-financiamento, </t>
    </r>
    <r>
      <rPr>
        <b/>
        <u/>
        <sz val="8"/>
        <color rgb="FFffffff"/>
        <rFont val="Calibri"/>
        <family val="2"/>
        <scheme val="minor"/>
      </rPr>
      <t>incorpora os efeitos do capital alheio refletidos na taxa de utilização</t>
    </r>
    <r>
      <rPr>
        <b/>
        <sz val="8"/>
        <color rgb="FFffffff"/>
        <rFont val="Calibri"/>
        <family val="2"/>
        <scheme val="minor"/>
      </rPr>
      <t xml:space="preserve">
Taxa de atualização  = wacc (custo médio ponderado do capital) = Rcp*CP /(CP+CA)+ Rca*(1-ti)*CA/ (CP+CA)
com Rcp = re = Rf + Bu*(Rm-Rf) e Rca - taxa de juro efetiva do capital alheio
Em alternativa, pode utilizar-se método considerando Rcp = Rf + Bp*(Rm-Rf).           com         Bp = Bu*(1+(1-ti)*(CA/CP)) com CA e CP do projeto
</t>
    </r>
    <r>
      <rPr>
        <b/>
        <u/>
        <sz val="10"/>
        <color rgb="FFffffff"/>
        <rFont val="Calibri"/>
        <family val="2"/>
        <scheme val="minor"/>
      </rPr>
      <t xml:space="preserve">3. Avaliação na  Ótica do Investidor (ou do Capital Próprio) </t>
    </r>
    <r>
      <rPr>
        <b/>
        <u/>
        <sz val="11"/>
        <color rgb="FFffff00"/>
        <rFont val="Calibri"/>
        <family val="2"/>
        <scheme val="minor"/>
      </rPr>
      <t>(Free Cash Flow to Equity)</t>
    </r>
    <r>
      <rPr>
        <b/>
        <sz val="8"/>
        <color rgb="FFffffff"/>
        <rFont val="Calibri"/>
        <family val="2"/>
        <scheme val="minor"/>
      </rPr>
      <t xml:space="preserve">
No método de avaliação pelo desconto de fluxos de caixa líquido do acionista (FCFE - Free Cashflow to Equity), o objetivo é avaliar diretamente o valor líquido e a remuneração do capital do investidor (ou do acionista da empresa) 
Os Cash Flows (FCFE) = Cash flows na ótica do Investimento + Cash Flows de financiamento em cada ano
 FCFEt  = Resultado operacional*(1-ti) + Amortizações Inv - Investimento (cap. fixo e fundo de maneio) + Financiamento obtido - reeembolsos de financiamento - Encargos financeiros*(1-ti)
-  taxa de atualização =  Rcp (CAPM) = Rf + Bu*(Rm - Rf). 
</t>
    </r>
    <r>
      <rPr>
        <b/>
        <sz val="9"/>
        <color rgb="FFffffff"/>
        <rFont val="Calibri"/>
        <family val="2"/>
        <scheme val="minor"/>
      </rPr>
      <t xml:space="preserve">NOTAS:
1.  Em todos os métodos, considera-se o Valor Residual dos CASH FLOWS no último ano, que podem influenciar significativamente, consoante o método de cálculo, o Valor dos indicadores (VAL e TIR).
2. É usual utilizar a taxa de atualização do 1º ano em todos os períodos - O que não acontece nesta Folha calc que altera a tx atualização em cada ano
</t>
    </r>
    <r>
      <rPr>
        <b/>
        <sz val="9"/>
        <color rgb="FFffff00"/>
        <rFont val="Calibri"/>
        <family val="2"/>
        <scheme val="minor"/>
      </rPr>
      <t xml:space="preserve">
</t>
    </r>
  </si>
  <si>
    <t xml:space="preserve">NOTA: A utilização desta ferramenta,  disponibilizada pelo IAPMEI,  é completamente autónoma  de  qualquer 
outra área/atividade do IAPMEI. Independentemente do fim a que se destine, a utilização da ferramenta,
 assim   como  dos  resultados  com   ela  obtidos,  é  da  inteira   responsabilidade   de   cada  utilizador.  </t>
  </si>
  <si>
    <t>Regras de utilização</t>
  </si>
  <si>
    <t>Para a melhor utilização do presente modelo, o empreendedor deverá dominar conceitos básicos de análise económica e financeira ou, não sendo esse o caso, deverá explorar as potencialidades do presente modelo acompanhado por alguém conhecedor desses conceitos. Por outro lado, este modelo Económico-Financeiro deverá ser acompanhado de informação qualitativa detalhada sobre o projeto e de explicação dos pressupostos de cálculos efetuados.</t>
  </si>
  <si>
    <t>Principais regras de utilização:</t>
  </si>
  <si>
    <r>
      <t>Ü</t>
    </r>
    <r>
      <rPr>
        <sz val="10"/>
        <color theme="1"/>
        <rFont val="Arial Narrow"/>
        <family val="2"/>
      </rPr>
      <t xml:space="preserve"> Só devem ser inseridos valores nas </t>
    </r>
    <r>
      <rPr>
        <sz val="10"/>
        <color rgb="FF0000ff"/>
        <rFont val="Arial Narrow"/>
        <family val="2"/>
      </rPr>
      <t>células com fundo branco</t>
    </r>
    <r>
      <rPr>
        <sz val="10"/>
        <color theme="1"/>
        <rFont val="Arial Narrow"/>
        <family val="2"/>
      </rPr>
      <t>;</t>
    </r>
  </si>
  <si>
    <r>
      <t>Ü</t>
    </r>
    <r>
      <rPr>
        <sz val="10"/>
        <color theme="1"/>
        <rFont val="Arial Narrow"/>
        <family val="2"/>
      </rPr>
      <t xml:space="preserve"> Os valores que se encontrem a azul poderão ser alterados, mas dentro dos mesmos parâmetros;</t>
    </r>
  </si>
  <si>
    <r>
      <t>Ü</t>
    </r>
    <r>
      <rPr>
        <sz val="10"/>
        <color theme="1"/>
        <rFont val="Arial Narrow"/>
        <family val="2"/>
      </rPr>
      <t xml:space="preserve"> A utilização deste modelo tem por base um trabalho prévio por parte do utilizador, no que diz respeito à previsão de proveitos e de custos;</t>
    </r>
  </si>
  <si>
    <r>
      <t>Ü</t>
    </r>
    <r>
      <rPr>
        <sz val="10"/>
        <color theme="1"/>
        <rFont val="Arial Narrow"/>
        <family val="2"/>
      </rPr>
      <t xml:space="preserve"> No caso de pretender efetuar uma análise de sensibilidade, utilize este mesmo modelo, mas com diferentes valores.</t>
    </r>
  </si>
  <si>
    <t>Passos para preenchimento:</t>
  </si>
  <si>
    <t>Para que possa tirar partido de todas as funcionalidades do modelo, deverá confirmar se o nível de segurança das Macros está em Médio. Para isso, basta ir às 'Ferramentas' - 'Macro' - 'Segurança' e no Nível de Segurança escolher/confirmar se está no Médio. Caso não esteja, coloque a opção já indicada e feche o ficheiro. Quando reabrir, selecione 'Aceitar Macro'.</t>
  </si>
  <si>
    <r>
      <t xml:space="preserve">Colocar o nome da empresa na célula E1 na </t>
    </r>
    <r>
      <rPr>
        <i/>
        <sz val="10"/>
        <color theme="1"/>
        <rFont val="Arial Narrow"/>
        <family val="2"/>
      </rPr>
      <t>sheet</t>
    </r>
    <r>
      <rPr>
        <sz val="10"/>
        <color theme="1"/>
        <rFont val="Arial Narrow"/>
        <family val="2"/>
      </rPr>
      <t xml:space="preserve"> de Pressupostos.</t>
    </r>
  </si>
  <si>
    <t>Estimar o volume de negócios da empresa, através das quantidades vendidas, preço de venda dos produtos e de prestação de serviços. Caso pretenda, utilize a folha de cálculo anexa e faça apenas as respetivas ligações, de acordo com a classificação contabilística do seu volume de negócios.</t>
  </si>
  <si>
    <r>
      <t xml:space="preserve">Colocar na </t>
    </r>
    <r>
      <rPr>
        <i/>
        <sz val="10"/>
        <color theme="1"/>
        <rFont val="Arial Narrow"/>
        <family val="2"/>
      </rPr>
      <t>sheet</t>
    </r>
    <r>
      <rPr>
        <sz val="10"/>
        <color theme="1"/>
        <rFont val="Arial Narrow"/>
        <family val="2"/>
      </rPr>
      <t xml:space="preserve"> CMVMC, na célula correspondente, as margens brutas de negócio para cada um dos produtos vendidos.</t>
    </r>
  </si>
  <si>
    <r>
      <t xml:space="preserve">Na </t>
    </r>
    <r>
      <rPr>
        <i/>
        <sz val="10"/>
        <color theme="1"/>
        <rFont val="Arial Narrow"/>
        <family val="2"/>
      </rPr>
      <t>sheet</t>
    </r>
    <r>
      <rPr>
        <sz val="10"/>
        <color theme="1"/>
        <rFont val="Arial Narrow"/>
        <family val="2"/>
      </rPr>
      <t xml:space="preserve"> FSE, estimar um valor médio mensal para cada umas das rubricas que se adaptem à empresa/negócio.</t>
    </r>
  </si>
  <si>
    <r>
      <t xml:space="preserve">Na </t>
    </r>
    <r>
      <rPr>
        <i/>
        <sz val="10"/>
        <color theme="1"/>
        <rFont val="Arial Narrow"/>
        <family val="2"/>
      </rPr>
      <t>sheet</t>
    </r>
    <r>
      <rPr>
        <sz val="10"/>
        <color theme="1"/>
        <rFont val="Arial Narrow"/>
        <family val="2"/>
      </rPr>
      <t xml:space="preserve"> Gastos com Pessoal, definir os colaboradores (Gerência e Pessoal) da empresa e respetivas remunerações brutas mensais. Para além disto, definir, caso se aplique, um valor para a formação e outros custos com pessoal.</t>
    </r>
  </si>
  <si>
    <r>
      <t xml:space="preserve">Posteriormente, definir o quadro de investimento da empresa/projeto na </t>
    </r>
    <r>
      <rPr>
        <i/>
        <sz val="10"/>
        <color theme="1"/>
        <rFont val="Arial Narrow"/>
        <family val="2"/>
      </rPr>
      <t>sheet</t>
    </r>
    <r>
      <rPr>
        <sz val="10"/>
        <color theme="1"/>
        <rFont val="Arial Narrow"/>
        <family val="2"/>
      </rPr>
      <t xml:space="preserve"> de Investimentos, repartida pelas diferentes rubricas de investimento em ativo fixo.</t>
    </r>
  </si>
  <si>
    <r>
      <t xml:space="preserve">Na </t>
    </r>
    <r>
      <rPr>
        <i/>
        <sz val="10"/>
        <color theme="1"/>
        <rFont val="Arial Narrow"/>
        <family val="2"/>
      </rPr>
      <t>sheet</t>
    </r>
    <r>
      <rPr>
        <sz val="10"/>
        <color theme="1"/>
        <rFont val="Arial Narrow"/>
        <family val="2"/>
      </rPr>
      <t xml:space="preserve"> de Fundo Maneio, definir a Reserva de Segurança de Tesouraria. Esta rubrica representa um valor mínimo de disponibilidades a manter ao longo do projeto.</t>
    </r>
  </si>
  <si>
    <r>
      <t xml:space="preserve">Após a definição de todos estes pressupostos, tem que definir a forma de financiamento do projeto na </t>
    </r>
    <r>
      <rPr>
        <i/>
        <sz val="10"/>
        <color theme="1"/>
        <rFont val="Arial Narrow"/>
        <family val="2"/>
      </rPr>
      <t>sheet</t>
    </r>
    <r>
      <rPr>
        <sz val="10"/>
        <color theme="1"/>
        <rFont val="Arial Narrow"/>
        <family val="2"/>
      </rPr>
      <t xml:space="preserve"> Financiamento. Deverá indicar o valor de capital social inicial e eventuais aumentos, bem como o nível de suprimentos da empresa e/ou o valor dos empréstimos bancários.</t>
    </r>
  </si>
  <si>
    <r>
      <t xml:space="preserve">Os </t>
    </r>
    <r>
      <rPr>
        <i/>
        <sz val="10"/>
        <color theme="1"/>
        <rFont val="Arial Narrow"/>
        <family val="2"/>
      </rPr>
      <t>inputs</t>
    </r>
    <r>
      <rPr>
        <sz val="10"/>
        <color theme="1"/>
        <rFont val="Arial Narrow"/>
        <family val="2"/>
      </rPr>
      <t xml:space="preserve"> do modelo estão inseridos, sendo necessário apenas fazer o acerto de disponibilidades. Assim sendo, na </t>
    </r>
    <r>
      <rPr>
        <i/>
        <sz val="10"/>
        <color theme="1"/>
        <rFont val="Arial Narrow"/>
        <family val="2"/>
      </rPr>
      <t>sheet</t>
    </r>
    <r>
      <rPr>
        <sz val="10"/>
        <color theme="1"/>
        <rFont val="Arial Narrow"/>
        <family val="2"/>
      </rPr>
      <t xml:space="preserve"> de Plano Financeiro, carregar no retângulo que indica 'Acerto do modelo'.</t>
    </r>
  </si>
  <si>
    <r>
      <t xml:space="preserve">No caso de pretender considerar um número superior de produtos ou serviços do que os previstos na </t>
    </r>
    <r>
      <rPr>
        <i/>
        <sz val="10"/>
        <color theme="1"/>
        <rFont val="Arial Narrow"/>
        <family val="2"/>
      </rPr>
      <t>sheet</t>
    </r>
    <r>
      <rPr>
        <sz val="10"/>
        <color theme="1"/>
        <rFont val="Arial Narrow"/>
        <family val="2"/>
      </rPr>
      <t xml:space="preserve"> VN, recomenda-se:
a) Copiar a </t>
    </r>
    <r>
      <rPr>
        <i/>
        <sz val="10"/>
        <color theme="1"/>
        <rFont val="Arial Narrow"/>
        <family val="2"/>
      </rPr>
      <t>sheet</t>
    </r>
    <r>
      <rPr>
        <sz val="10"/>
        <color theme="1"/>
        <rFont val="Arial Narrow"/>
        <family val="2"/>
      </rPr>
      <t xml:space="preserve"> VN para uma folha desprotegida, em que poderá considerar todos os produtos;
b) Colocar o valor total dos produtos para o mercado interno em VN - Produto A, e o valor total de produtos exportados em Exportações - Produto A.</t>
    </r>
  </si>
  <si>
    <t>Aconselha-se considerar as Imparidades em 0%, pelas implicações a nível de interpretação, já que apenas serão contabilizadas imparidades sobre Clientes com consequência no valor do Fundo de Maneio.</t>
  </si>
  <si>
    <r>
      <t xml:space="preserve">Para calcular depreciações/amortizações pelo método de quota anual, manter 12 (meses) em cada um dos anos na </t>
    </r>
    <r>
      <rPr>
        <i/>
        <sz val="10"/>
        <color theme="1"/>
        <rFont val="Arial Narrow"/>
        <family val="2"/>
      </rPr>
      <t>sheet</t>
    </r>
    <r>
      <rPr>
        <sz val="10"/>
        <color theme="1"/>
        <rFont val="Arial Narrow"/>
        <family val="2"/>
      </rPr>
      <t xml:space="preserve"> de Investimento, Linha 31, incluindo no ano de investimento.
Pelo método de quota mensal (considera o número de meses contados a partir da entrada em produção/utilização dos ativos), colocar o número de meses de produção em cada um dos dois primeiros anos (</t>
    </r>
    <r>
      <rPr>
        <u/>
        <sz val="10"/>
        <color theme="1"/>
        <rFont val="Arial Narrow"/>
        <family val="2"/>
      </rPr>
      <t>&gt;0 no ano2</t>
    </r>
    <r>
      <rPr>
        <sz val="10"/>
        <color theme="1"/>
        <rFont val="Arial Narrow"/>
        <family val="2"/>
      </rPr>
      <t xml:space="preserve">) - </t>
    </r>
    <r>
      <rPr>
        <b/>
        <sz val="10"/>
        <color theme="1"/>
        <rFont val="Arial Narrow"/>
        <family val="2"/>
      </rPr>
      <t xml:space="preserve"> Folha Investimento Linha 31</t>
    </r>
  </si>
  <si>
    <r>
      <t xml:space="preserve">Na </t>
    </r>
    <r>
      <rPr>
        <i/>
        <sz val="10"/>
        <color theme="1"/>
        <rFont val="Arial Narrow"/>
        <family val="2"/>
      </rPr>
      <t>sheet</t>
    </r>
    <r>
      <rPr>
        <sz val="10"/>
        <color theme="1"/>
        <rFont val="Arial Narrow"/>
        <family val="2"/>
      </rPr>
      <t xml:space="preserve"> Financiamento, é possível considerar valores positivos (aumentos) ou valor negativos (reembolsos) para as rubricas:
* Outros instrumentos de capital (+/-)   
* Empréstimos de Sócios (+) ou Reembolsos a Sócios (-)
* Financiamento bancário e outras Instituições de Crédito
 * Subsídios (+/-)</t>
    </r>
  </si>
  <si>
    <r>
      <t xml:space="preserve">A distribuição de dividendos poderá ser registada na </t>
    </r>
    <r>
      <rPr>
        <i/>
        <sz val="10"/>
        <color theme="1"/>
        <rFont val="Arial Narrow"/>
        <family val="2"/>
      </rPr>
      <t>sheet</t>
    </r>
    <r>
      <rPr>
        <sz val="10"/>
        <color theme="1"/>
        <rFont val="Arial Narrow"/>
        <family val="2"/>
      </rPr>
      <t xml:space="preserve"> Plano Financeiro, Linha 22.</t>
    </r>
  </si>
  <si>
    <r>
      <t/>
    </r>
    <r>
      <rPr>
        <b/>
        <sz val="10"/>
        <color theme="1"/>
        <rFont val="Arial Narrow"/>
        <family val="2"/>
      </rPr>
      <t>Acertar Modelo</t>
    </r>
    <r>
      <rPr>
        <sz val="10"/>
        <color theme="1"/>
        <rFont val="Arial Narrow"/>
        <family val="2"/>
      </rPr>
      <t xml:space="preserve">: Após carregamento dos dados e sempre que introduza alterações, é necessário carregar na função 'Acertar Modelo' na </t>
    </r>
    <r>
      <rPr>
        <i/>
        <sz val="10"/>
        <color theme="1"/>
        <rFont val="Arial Narrow"/>
        <family val="2"/>
      </rPr>
      <t>sheet</t>
    </r>
    <r>
      <rPr>
        <sz val="10"/>
        <color theme="1"/>
        <rFont val="Arial Narrow"/>
        <family val="2"/>
      </rPr>
      <t xml:space="preserve"> Plano Financeiro.   Se necessário, carregar 2 vezes em 'Acertar Modelo'.</t>
    </r>
  </si>
  <si>
    <t>NOTA</t>
  </si>
  <si>
    <r>
      <t xml:space="preserve">No caso de empresas industriais, é aconselhado o uso da </t>
    </r>
    <r>
      <rPr>
        <i/>
        <sz val="10"/>
        <color theme="1"/>
        <rFont val="Arial Narrow"/>
        <family val="2"/>
      </rPr>
      <t>sheet</t>
    </r>
    <r>
      <rPr>
        <sz val="10"/>
        <color theme="1"/>
        <rFont val="Arial Narrow"/>
        <family val="2"/>
      </rPr>
      <t xml:space="preserve"> Cálculos Auxiliares. Esta </t>
    </r>
    <r>
      <rPr>
        <i/>
        <sz val="10"/>
        <color theme="1"/>
        <rFont val="Arial Narrow"/>
        <family val="2"/>
      </rPr>
      <t xml:space="preserve">sheet </t>
    </r>
    <r>
      <rPr>
        <sz val="10"/>
        <color theme="1"/>
        <rFont val="Arial Narrow"/>
        <family val="2"/>
      </rPr>
      <t>constitui uma base de cálculo indispensável ao suporte previsional do modelo de projeções.</t>
    </r>
  </si>
  <si>
    <t>Modelo Financeiro                                              do Plano de Negócios</t>
  </si>
  <si>
    <t>IAPMEI</t>
  </si>
  <si>
    <t>EzPower by Flexible Energies</t>
  </si>
  <si>
    <t>Data 14/04/2025</t>
  </si>
  <si>
    <r>
      <t>Apr.</t>
    </r>
    <r>
      <rPr>
        <sz val="8"/>
        <color rgb="FF0000ff"/>
        <rFont val="Arial Narrow"/>
        <family val="2"/>
      </rPr>
      <t>2025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</si>
</sst>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9">
    <numFmt numFmtId="164" formatCode="#,##0%"/>
    <numFmt numFmtId="165" formatCode="#,##0.00%"/>
    <numFmt numFmtId="166" formatCode="0.0"/>
    <numFmt numFmtId="167" formatCode="#,##0.0"/>
    <numFmt numFmtId="168" formatCode="#,##0.000"/>
    <numFmt numFmtId="169" formatCode="#,##0.0000"/>
    <numFmt numFmtId="170" formatCode="#,##0.0%"/>
    <numFmt numFmtId="171" formatCode="mmm/yy"/>
    <numFmt numFmtId="172" formatCode="#,##0.000%"/>
  </numFmts>
  <fonts count="6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8"/>
      <color rgb="FFffffff"/>
      <name val="Arial Narrow"/>
      <family val="2"/>
    </font>
    <font>
      <sz val="8"/>
      <color rgb="FFffffff"/>
      <name val="Arial Narrow"/>
      <family val="2"/>
    </font>
    <font>
      <b/>
      <sz val="12"/>
      <color rgb="FF17375e"/>
      <name val="Arial Narrow"/>
      <family val="2"/>
    </font>
    <font>
      <b/>
      <sz val="8"/>
      <color rgb="FF17375e"/>
      <name val="Arial Narrow"/>
      <family val="2"/>
    </font>
    <font>
      <i/>
      <sz val="8"/>
      <color theme="1"/>
      <name val="Arial Narrow"/>
      <family val="2"/>
    </font>
    <font>
      <b/>
      <sz val="10"/>
      <color rgb="FFffffff"/>
      <name val="Arial Narrow"/>
      <family val="2"/>
    </font>
    <font>
      <sz val="10"/>
      <color rgb="FFffffff"/>
      <name val="Arial Narrow"/>
      <family val="2"/>
    </font>
    <font>
      <b/>
      <sz val="8"/>
      <color rgb="FF0000cc"/>
      <name val="Arial Narrow"/>
      <family val="2"/>
    </font>
    <font>
      <sz val="8"/>
      <color rgb="FF0000cc"/>
      <name val="Arial Narrow"/>
      <family val="2"/>
    </font>
    <font>
      <sz val="8"/>
      <color rgb="FF333399"/>
      <name val="Arial Narrow"/>
      <family val="2"/>
    </font>
    <font>
      <i/>
      <sz val="8"/>
      <color rgb="FF17375e"/>
      <name val="Arial Narrow"/>
      <family val="2"/>
    </font>
    <font>
      <b/>
      <sz val="8"/>
      <color rgb="FF0000cc"/>
      <name val="Calibri"/>
      <family val="2"/>
    </font>
    <font>
      <sz val="8"/>
      <color rgb="FF17375e"/>
      <name val="Arial Narrow"/>
      <family val="2"/>
    </font>
    <font>
      <b/>
      <sz val="12"/>
      <color rgb="FFffffff"/>
      <name val="Arial Narrow"/>
      <family val="2"/>
    </font>
    <font>
      <i/>
      <sz val="8"/>
      <color rgb="FFffffff"/>
      <name val="Arial Narrow"/>
      <family val="2"/>
    </font>
    <font>
      <b/>
      <sz val="9"/>
      <color rgb="FF0000cc"/>
      <name val="Arial Narrow"/>
      <family val="2"/>
    </font>
    <font>
      <b/>
      <sz val="9"/>
      <color theme="1"/>
      <name val="Arial Narrow"/>
      <family val="2"/>
    </font>
    <font>
      <b/>
      <sz val="8"/>
      <color rgb="FF0070c0"/>
      <name val="Arial Narrow"/>
      <family val="2"/>
    </font>
    <font>
      <sz val="8"/>
      <color rgb="FF00b0f0"/>
      <name val="Arial Narrow"/>
      <family val="2"/>
    </font>
    <font>
      <i/>
      <sz val="8"/>
      <color rgb="FF0000cc"/>
      <name val="Arial Narrow"/>
      <family val="2"/>
    </font>
    <font>
      <sz val="6"/>
      <color theme="1"/>
      <name val="Arial Narrow"/>
      <family val="2"/>
    </font>
    <font>
      <i/>
      <sz val="6"/>
      <color rgb="FF17375e"/>
      <name val="Arial Narrow"/>
      <family val="2"/>
    </font>
    <font>
      <b/>
      <sz val="9"/>
      <color rgb="FFffffff"/>
      <name val="Arial Narrow"/>
      <family val="2"/>
    </font>
    <font>
      <sz val="6"/>
      <color rgb="FFffffff"/>
      <name val="Arial Narrow"/>
      <family val="2"/>
    </font>
    <font>
      <i/>
      <sz val="6"/>
      <color rgb="FFffffff"/>
      <name val="Arial Narrow"/>
      <family val="2"/>
    </font>
    <font>
      <sz val="14"/>
      <color rgb="FFffffff"/>
      <name val="Arial Narrow"/>
      <family val="2"/>
    </font>
    <font>
      <sz val="9"/>
      <color rgb="FF17375e"/>
      <name val="Arial Narrow"/>
      <family val="2"/>
    </font>
    <font>
      <i/>
      <sz val="9"/>
      <color rgb="FF17375e"/>
      <name val="Arial Narrow"/>
      <family val="2"/>
    </font>
    <font>
      <i/>
      <sz val="9"/>
      <color rgb="FF0000cc"/>
      <name val="Arial Narrow"/>
      <family val="2"/>
    </font>
    <font>
      <sz val="8"/>
      <color rgb="FFc0c0c0"/>
      <name val="Arial Narrow"/>
      <family val="2"/>
    </font>
    <font>
      <sz val="8"/>
      <color theme="1"/>
      <name val="Tahoma"/>
      <family val="2"/>
    </font>
    <font>
      <b/>
      <sz val="8"/>
      <color theme="1"/>
      <name val="Arial"/>
      <family val="2"/>
    </font>
    <font>
      <sz val="8"/>
      <color rgb="FFbfbfbf"/>
      <name val="Arial Narrow"/>
      <family val="2"/>
    </font>
    <font>
      <b/>
      <sz val="12"/>
      <color rgb="FF000080"/>
      <name val="Arial Narrow"/>
      <family val="2"/>
    </font>
    <font>
      <sz val="8"/>
      <color rgb="FF0000ff"/>
      <name val="Arial Narrow"/>
      <family val="2"/>
    </font>
    <font>
      <sz val="8"/>
      <color rgb="FF0066cc"/>
      <name val="Arial Narrow"/>
      <family val="2"/>
    </font>
    <font>
      <b/>
      <sz val="8"/>
      <color rgb="FF000080"/>
      <name val="Arial Narrow"/>
      <family val="2"/>
    </font>
    <font>
      <sz val="8"/>
      <color rgb="FFff0000"/>
      <name val="Arial Narrow"/>
      <family val="2"/>
    </font>
    <font>
      <b/>
      <i/>
      <sz val="8"/>
      <color theme="1"/>
      <name val="Arial Narrow"/>
      <family val="2"/>
    </font>
    <font>
      <b/>
      <sz val="8"/>
      <color rgb="FFff0000"/>
      <name val="Arial Narrow"/>
      <family val="2"/>
    </font>
    <font>
      <sz val="8"/>
      <color rgb="FF33cccc"/>
      <name val="Arial Narrow"/>
      <family val="2"/>
    </font>
    <font>
      <b/>
      <i/>
      <sz val="8"/>
      <color rgb="FF17375e"/>
      <name val="Arial Narrow"/>
      <family val="2"/>
    </font>
    <font>
      <b/>
      <u/>
      <sz val="8"/>
      <color theme="1"/>
      <name val="Arial Narrow"/>
      <family val="2"/>
    </font>
    <font>
      <sz val="8"/>
      <color theme="1"/>
      <name val="Trebuchet MS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sz val="8"/>
      <color rgb="FF808080"/>
      <name val="Arial Narrow"/>
      <family val="2"/>
    </font>
    <font>
      <sz val="8"/>
      <color rgb="FFccffff"/>
      <name val="Arial Narrow"/>
      <family val="2"/>
    </font>
    <font>
      <sz val="8"/>
      <color rgb="FF376092"/>
      <name val="Arial Narrow"/>
      <family val="2"/>
    </font>
    <font>
      <sz val="8"/>
      <color rgb="FF993366"/>
      <name val="Arial Narrow"/>
      <family val="2"/>
    </font>
    <font>
      <i/>
      <sz val="12"/>
      <color theme="1"/>
      <name val="Arial Narrow"/>
      <family val="2"/>
    </font>
    <font>
      <sz val="8"/>
      <color rgb="FFffffff"/>
      <name val="Calibri"/>
      <family val="2"/>
    </font>
    <font>
      <b/>
      <sz val="9"/>
      <color rgb="FF376092"/>
      <name val="Arial Narrow"/>
      <family val="2"/>
    </font>
    <font>
      <sz val="9"/>
      <color rgb="FF376092"/>
      <name val="Arial Narrow"/>
      <family val="2"/>
    </font>
    <font>
      <b/>
      <sz val="12"/>
      <color rgb="FF254061"/>
      <name val="Arial Narrow"/>
      <family val="2"/>
    </font>
    <font>
      <b/>
      <i/>
      <sz val="12"/>
      <color theme="1"/>
      <name val="Arial Narrow"/>
      <family val="2"/>
    </font>
    <font>
      <b/>
      <u/>
      <sz val="10"/>
      <color theme="1"/>
      <name val="Arial Narrow"/>
      <family val="2"/>
    </font>
    <font>
      <sz val="10"/>
      <color theme="1"/>
      <name val="ITC Zapf Dingbats"/>
      <family val="2"/>
    </font>
    <font>
      <sz val="10"/>
      <color theme="1"/>
      <name val="Arial Narrow"/>
      <family val="2"/>
    </font>
    <font>
      <sz val="40"/>
      <color rgb="FF17375e"/>
      <name val="Arial Narrow"/>
      <family val="2"/>
    </font>
    <font>
      <sz val="22"/>
      <color rgb="FF17375e"/>
      <name val="Arial Narrow"/>
      <family val="2"/>
    </font>
    <font>
      <b/>
      <i/>
      <sz val="22"/>
      <color rgb="FF17375e"/>
      <name val="Arial Narrow"/>
      <family val="2"/>
    </font>
    <font>
      <b/>
      <i/>
      <sz val="18"/>
      <color rgb="FF17375e"/>
      <name val="Arial Narrow"/>
      <family val="2"/>
    </font>
    <font>
      <sz val="10"/>
      <color rgb="FF0000cc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c0c0c0"/>
      </patternFill>
    </fill>
    <fill>
      <patternFill patternType="solid">
        <fgColor rgb="FF000000"/>
      </patternFill>
    </fill>
    <fill>
      <patternFill patternType="solid">
        <fgColor rgb="FFd9d9d9"/>
      </patternFill>
    </fill>
    <fill>
      <patternFill patternType="solid">
        <fgColor rgb="FFdce6f2"/>
      </patternFill>
    </fill>
    <fill>
      <patternFill patternType="solid">
        <fgColor rgb="FFf2f2f2"/>
      </patternFill>
    </fill>
    <fill>
      <patternFill patternType="solid">
        <fgColor rgb="FFdbeef4"/>
      </patternFill>
    </fill>
    <fill>
      <patternFill patternType="solid">
        <fgColor rgb="FFbfbfbf"/>
      </patternFill>
    </fill>
    <fill>
      <patternFill patternType="solid">
        <fgColor rgb="FFddd9c3"/>
      </patternFill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rgb="FF7f7f7f"/>
      </patternFill>
    </fill>
    <fill>
      <patternFill patternType="solid">
        <fgColor rgb="FFe6e0ec"/>
      </patternFill>
    </fill>
    <fill>
      <patternFill patternType="solid">
        <fgColor rgb="FF404040"/>
      </patternFill>
    </fill>
    <fill>
      <patternFill patternType="solid">
        <fgColor rgb="FFa6a6a6"/>
      </patternFill>
    </fill>
    <fill>
      <patternFill patternType="solid">
        <fgColor rgb="FFeeece1"/>
      </patternFill>
    </fill>
    <fill>
      <patternFill patternType="solid">
        <fgColor rgb="FFfdeada"/>
      </patternFill>
    </fill>
    <fill>
      <patternFill patternType="solid">
        <fgColor rgb="FFffff00"/>
      </patternFill>
    </fill>
    <fill>
      <patternFill patternType="solid">
        <fgColor rgb="FF002060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8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6c6c6"/>
      </left>
      <right style="thin">
        <color rgb="FFc6c6c6"/>
      </right>
      <top style="thin">
        <color rgb="FFc0c0c0"/>
      </top>
      <bottom style="thin">
        <color rgb="FFc0c0c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0c0c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0c0c0"/>
      </bottom>
      <diagonal/>
    </border>
    <border>
      <left style="thin">
        <color rgb="FFc6c6c6"/>
      </left>
      <right style="thin">
        <color rgb="FFc6c6c6"/>
      </right>
      <top style="medium">
        <color rgb="FFc0c0c0"/>
      </top>
      <bottom style="medium">
        <color rgb="FF333333"/>
      </bottom>
      <diagonal/>
    </border>
    <border>
      <left style="thin">
        <color rgb="FFc6c6c6"/>
      </left>
      <right style="thin">
        <color rgb="FFc6c6c6"/>
      </right>
      <top style="thin">
        <color rgb="FFc0c0c0"/>
      </top>
      <bottom style="medium">
        <color rgb="FFc0c0c0"/>
      </bottom>
      <diagonal/>
    </border>
    <border>
      <left style="thin">
        <color rgb="FFc6c6c6"/>
      </left>
      <right style="thin">
        <color rgb="FFc6c6c6"/>
      </right>
      <top style="medium">
        <color rgb="FF969696"/>
      </top>
      <bottom style="medium">
        <color rgb="FF333333"/>
      </bottom>
      <diagonal/>
    </border>
    <border>
      <left style="thin">
        <color rgb="FFc6c6c6"/>
      </left>
      <right style="thin">
        <color rgb="FFc6c6c6"/>
      </right>
      <top style="thin">
        <color rgb="FFc0c0c0"/>
      </top>
      <bottom style="medium">
        <color rgb="FF969696"/>
      </bottom>
      <diagonal/>
    </border>
    <border>
      <left style="thin">
        <color rgb="FFc6c6c6"/>
      </left>
      <right style="thin">
        <color rgb="FFc6c6c6"/>
      </right>
      <top style="thin">
        <color rgb="FFc0c0c0"/>
      </top>
      <bottom style="double">
        <color rgb="FFc0c0c0"/>
      </bottom>
      <diagonal/>
    </border>
    <border>
      <left style="thin">
        <color rgb="FFc6c6c6"/>
      </left>
      <right style="thin">
        <color rgb="FFc6c6c6"/>
      </right>
      <top style="thin">
        <color rgb="FFc0c0c0"/>
      </top>
      <bottom style="thin">
        <color rgb="FF000000"/>
      </bottom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 style="thin">
        <color rgb="FFc6c6c6"/>
      </left>
      <right style="thin">
        <color rgb="FFc6c6c6"/>
      </right>
      <top style="thin">
        <color rgb="FF969696"/>
      </top>
      <bottom style="thin">
        <color rgb="FF969696"/>
      </bottom>
      <diagonal/>
    </border>
    <border>
      <left style="thin">
        <color rgb="FFc6c6c6"/>
      </left>
      <right style="thin">
        <color rgb="FFc6c6c6"/>
      </right>
      <top style="dotted">
        <color rgb="FF000000"/>
      </top>
      <bottom style="dotted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c0c0c0"/>
      </top>
      <bottom style="double">
        <color rgb="FFc0c0c0"/>
      </bottom>
      <diagonal/>
    </border>
  </borders>
  <cellStyleXfs count="1">
    <xf numFmtId="0" fontId="0" fillId="0" borderId="0"/>
  </cellStyleXfs>
  <cellXfs count="530">
    <xf xfId="0" numFmtId="0" borderId="0" fontId="0" fillId="0"/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2" applyBorder="1" fontId="2" applyFont="1" fillId="0" applyAlignment="1">
      <alignment horizontal="left"/>
    </xf>
    <xf xfId="0" numFmtId="1" applyNumberFormat="1" borderId="2" applyBorder="1" fontId="3" applyFont="1" fillId="0" applyAlignment="1">
      <alignment horizontal="left"/>
    </xf>
    <xf xfId="0" numFmtId="1" applyNumberFormat="1" borderId="3" applyBorder="1" fontId="4" applyFont="1" fillId="2" applyFill="1" applyAlignment="1">
      <alignment horizontal="left"/>
    </xf>
    <xf xfId="0" numFmtId="1" applyNumberFormat="1" borderId="3" applyBorder="1" fontId="5" applyFont="1" fillId="2" applyFill="1" applyAlignment="1">
      <alignment horizontal="right"/>
    </xf>
    <xf xfId="0" numFmtId="0" borderId="2" applyBorder="1" fontId="4" applyFont="1" fillId="0" applyAlignment="1">
      <alignment horizontal="left"/>
    </xf>
    <xf xfId="0" numFmtId="1" applyNumberFormat="1" borderId="2" applyBorder="1" fontId="4" applyFont="1" fillId="0" applyAlignment="1">
      <alignment horizontal="left"/>
    </xf>
    <xf xfId="0" numFmtId="1" applyNumberFormat="1" borderId="2" applyBorder="1" fontId="5" applyFont="1" fillId="0" applyAlignment="1">
      <alignment horizontal="left"/>
    </xf>
    <xf xfId="0" numFmtId="1" applyNumberFormat="1" borderId="2" applyBorder="1" fontId="2" applyFont="1" fillId="0" applyAlignment="1">
      <alignment horizontal="right"/>
    </xf>
    <xf xfId="0" numFmtId="0" borderId="4" applyBorder="1" fontId="6" applyFont="1" fillId="0" applyAlignment="1">
      <alignment horizontal="center"/>
    </xf>
    <xf xfId="0" numFmtId="1" applyNumberFormat="1" borderId="4" applyBorder="1" fontId="6" applyFont="1" fillId="0" applyAlignment="1">
      <alignment horizontal="center"/>
    </xf>
    <xf xfId="0" numFmtId="1" applyNumberFormat="1" borderId="2" applyBorder="1" fontId="2" applyFont="1" fillId="0" applyAlignment="1">
      <alignment horizontal="left"/>
    </xf>
    <xf xfId="0" numFmtId="0" borderId="2" applyBorder="1" fontId="7" applyFont="1" fillId="0" applyAlignment="1">
      <alignment horizontal="left"/>
    </xf>
    <xf xfId="0" numFmtId="0" borderId="5" applyBorder="1" fontId="3" applyFont="1" fillId="0" applyAlignment="1">
      <alignment horizontal="center"/>
    </xf>
    <xf xfId="0" numFmtId="1" applyNumberFormat="1" borderId="5" applyBorder="1" fontId="3" applyFont="1" fillId="0" applyAlignment="1">
      <alignment horizontal="center"/>
    </xf>
    <xf xfId="0" numFmtId="0" borderId="5" applyBorder="1" fontId="3" applyFont="1" fillId="0" applyAlignment="1">
      <alignment horizontal="left"/>
    </xf>
    <xf xfId="0" numFmtId="1" applyNumberFormat="1" borderId="5" applyBorder="1" fontId="2" applyFont="1" fillId="0" applyAlignment="1">
      <alignment horizontal="right"/>
    </xf>
    <xf xfId="0" numFmtId="0" borderId="5" applyBorder="1" fontId="2" applyFont="1" fillId="0" applyAlignment="1">
      <alignment horizontal="left"/>
    </xf>
    <xf xfId="0" numFmtId="3" applyNumberFormat="1" borderId="5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5" applyBorder="1" fontId="3" applyFont="1" fillId="0" applyAlignment="1">
      <alignment horizontal="right"/>
    </xf>
    <xf xfId="0" numFmtId="3" applyNumberFormat="1" borderId="5" applyBorder="1" fontId="2" applyFont="1" fillId="0" applyAlignment="1">
      <alignment horizontal="center"/>
    </xf>
    <xf xfId="0" numFmtId="1" applyNumberFormat="1" borderId="5" applyBorder="1" fontId="2" applyFont="1" fillId="0" applyAlignment="1">
      <alignment horizontal="left"/>
    </xf>
    <xf xfId="0" numFmtId="3" applyNumberFormat="1" borderId="5" applyBorder="1" fontId="3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0" borderId="2" applyBorder="1" fontId="8" applyFont="1" fillId="0" applyAlignment="1">
      <alignment horizontal="left"/>
    </xf>
    <xf xfId="0" numFmtId="1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left"/>
    </xf>
    <xf xfId="0" numFmtId="165" applyNumberFormat="1" borderId="2" applyBorder="1" fontId="4" applyFont="1" fillId="0" applyAlignment="1">
      <alignment horizontal="left"/>
    </xf>
    <xf xfId="0" numFmtId="165" applyNumberFormat="1" borderId="3" applyBorder="1" fontId="9" applyFont="1" fillId="2" applyFill="1" applyAlignment="1">
      <alignment horizontal="left"/>
    </xf>
    <xf xfId="0" numFmtId="165" applyNumberFormat="1" borderId="3" applyBorder="1" fontId="10" applyFont="1" fillId="2" applyFill="1" applyAlignment="1">
      <alignment horizontal="right"/>
    </xf>
    <xf xfId="0" numFmtId="0" borderId="3" applyBorder="1" fontId="4" applyFont="1" fillId="3" applyFill="1" applyAlignment="1">
      <alignment horizontal="left"/>
    </xf>
    <xf xfId="0" numFmtId="3" applyNumberFormat="1" borderId="0" fontId="0" fillId="0" applyAlignment="1">
      <alignment horizontal="general"/>
    </xf>
    <xf xfId="0" numFmtId="165" applyNumberFormat="1" borderId="2" applyBorder="1" fontId="2" applyFont="1" fillId="0" applyAlignment="1">
      <alignment horizontal="left"/>
    </xf>
    <xf xfId="0" numFmtId="3" applyNumberFormat="1" borderId="4" applyBorder="1" fontId="6" applyFont="1" fillId="0" applyAlignment="1">
      <alignment horizontal="center"/>
    </xf>
    <xf xfId="0" numFmtId="165" applyNumberFormat="1" borderId="4" applyBorder="1" fontId="6" applyFont="1" fillId="0" applyAlignment="1">
      <alignment horizontal="center"/>
    </xf>
    <xf xfId="0" numFmtId="0" borderId="6" applyBorder="1" fontId="9" applyFont="1" fillId="4" applyFill="1" applyAlignment="1">
      <alignment horizontal="center"/>
    </xf>
    <xf xfId="0" numFmtId="3" applyNumberFormat="1" borderId="6" applyBorder="1" fontId="9" applyFont="1" fillId="4" applyFill="1" applyAlignment="1">
      <alignment horizontal="center"/>
    </xf>
    <xf xfId="0" numFmtId="3" applyNumberFormat="1" borderId="6" applyBorder="1" fontId="3" applyFont="1" fillId="4" applyFill="1" applyAlignment="1">
      <alignment horizontal="center"/>
    </xf>
    <xf xfId="0" numFmtId="0" borderId="7" applyBorder="1" fontId="3" applyFont="1" fillId="3" applyFill="1" applyAlignment="1">
      <alignment horizontal="center"/>
    </xf>
    <xf xfId="0" numFmtId="3" applyNumberFormat="1" borderId="7" applyBorder="1" fontId="3" applyFont="1" fillId="3" applyFill="1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0" borderId="3" applyBorder="1" fontId="7" applyFont="1" fillId="5" applyFill="1" applyAlignment="1">
      <alignment horizontal="justify" vertical="top"/>
    </xf>
    <xf xfId="0" numFmtId="3" applyNumberFormat="1" borderId="7" applyBorder="1" fontId="2" applyFont="1" fillId="3" applyFill="1" applyAlignment="1">
      <alignment horizontal="center"/>
    </xf>
    <xf xfId="0" numFmtId="0" borderId="6" applyBorder="1" fontId="3" applyFont="1" fillId="4" applyFill="1" applyAlignment="1">
      <alignment horizontal="left"/>
    </xf>
    <xf xfId="0" numFmtId="3" applyNumberFormat="1" borderId="6" applyBorder="1" fontId="3" applyFont="1" fillId="4" applyFill="1" applyAlignment="1">
      <alignment horizontal="right"/>
    </xf>
    <xf xfId="0" numFmtId="3" applyNumberFormat="1" borderId="6" applyBorder="1" fontId="3" applyFont="1" fillId="6" applyFill="1" applyAlignment="1">
      <alignment horizontal="center"/>
    </xf>
    <xf xfId="0" numFmtId="0" borderId="3" applyBorder="1" fontId="7" applyFont="1" fillId="5" applyFill="1" applyAlignment="1">
      <alignment horizontal="justify"/>
    </xf>
    <xf xfId="0" numFmtId="166" applyNumberFormat="1" borderId="7" applyBorder="1" fontId="2" applyFont="1" fillId="3" applyFill="1" applyAlignment="1">
      <alignment horizontal="center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right"/>
    </xf>
    <xf xfId="0" numFmtId="0" borderId="6" applyBorder="1" fontId="11" applyFont="1" fillId="7" applyFill="1" applyAlignment="1">
      <alignment horizontal="left"/>
    </xf>
    <xf xfId="0" numFmtId="3" applyNumberFormat="1" borderId="6" applyBorder="1" fontId="12" applyFont="1" fillId="7" applyFill="1" applyAlignment="1">
      <alignment horizontal="left" wrapText="1"/>
    </xf>
    <xf xfId="0" numFmtId="165" applyNumberFormat="1" borderId="6" applyBorder="1" fontId="12" applyFont="1" fillId="7" applyFill="1" applyAlignment="1">
      <alignment horizontal="center" wrapText="1"/>
    </xf>
    <xf xfId="0" numFmtId="165" applyNumberFormat="1" borderId="6" applyBorder="1" fontId="12" applyFont="1" fillId="8" applyFill="1" applyAlignment="1">
      <alignment horizontal="center" wrapText="1"/>
    </xf>
    <xf xfId="0" numFmtId="167" applyNumberFormat="1" borderId="7" applyBorder="1" fontId="2" applyFont="1" fillId="3" applyFill="1" applyAlignment="1">
      <alignment horizontal="center"/>
    </xf>
    <xf xfId="0" numFmtId="0" borderId="3" applyBorder="1" fontId="2" applyFont="1" fillId="4" applyFill="1" applyAlignment="1">
      <alignment horizontal="left"/>
    </xf>
    <xf xfId="0" numFmtId="3" applyNumberFormat="1" borderId="3" applyBorder="1" fontId="2" applyFont="1" fillId="4" applyFill="1" applyAlignment="1">
      <alignment horizontal="left" wrapText="1"/>
    </xf>
    <xf xfId="0" numFmtId="4" applyNumberFormat="1" borderId="6" applyBorder="1" fontId="2" applyFont="1" fillId="4" applyFill="1" applyAlignment="1">
      <alignment horizontal="right" wrapText="1"/>
    </xf>
    <xf xfId="0" numFmtId="168" applyNumberFormat="1" borderId="6" applyBorder="1" fontId="2" applyFont="1" fillId="4" applyFill="1" applyAlignment="1">
      <alignment horizontal="right"/>
    </xf>
    <xf xfId="0" numFmtId="168" applyNumberFormat="1" borderId="6" applyBorder="1" fontId="3" applyFont="1" fillId="6" applyFill="1" applyAlignment="1">
      <alignment horizontal="center"/>
    </xf>
    <xf xfId="0" numFmtId="165" applyNumberFormat="1" borderId="0" fontId="0" fillId="0" applyAlignment="1">
      <alignment horizontal="general"/>
    </xf>
    <xf xfId="0" numFmtId="165" applyNumberFormat="1" borderId="3" applyBorder="1" fontId="2" applyFont="1" fillId="3" applyFill="1" applyAlignment="1">
      <alignment horizontal="center"/>
    </xf>
    <xf xfId="0" numFmtId="3" applyNumberFormat="1" borderId="6" applyBorder="1" fontId="3" applyFont="1" fillId="8" applyFill="1" applyAlignment="1">
      <alignment horizontal="center"/>
    </xf>
    <xf xfId="0" numFmtId="4" applyNumberFormat="1" borderId="2" applyBorder="1" fontId="13" applyFont="1" fillId="0" applyAlignment="1">
      <alignment horizontal="right"/>
    </xf>
    <xf xfId="0" numFmtId="4" applyNumberFormat="1" borderId="2" applyBorder="1" fontId="2" applyFont="1" fillId="0" applyAlignment="1">
      <alignment horizontal="center"/>
    </xf>
    <xf xfId="0" numFmtId="165" applyNumberFormat="1" borderId="6" applyBorder="1" fontId="3" applyFont="1" fillId="8" applyFill="1" applyAlignment="1">
      <alignment horizontal="center"/>
    </xf>
    <xf xfId="0" numFmtId="0" borderId="3" applyBorder="1" fontId="7" applyFont="1" fillId="6" applyFill="1" applyAlignment="1">
      <alignment horizontal="left"/>
    </xf>
    <xf xfId="0" numFmtId="3" applyNumberFormat="1" borderId="3" applyBorder="1" fontId="11" applyFont="1" fillId="6" applyFill="1" applyAlignment="1">
      <alignment horizontal="left"/>
    </xf>
    <xf xfId="0" numFmtId="3" applyNumberFormat="1" borderId="3" applyBorder="1" fontId="2" applyFont="1" fillId="3" applyFill="1" applyAlignment="1">
      <alignment horizontal="left"/>
    </xf>
    <xf xfId="0" numFmtId="165" applyNumberFormat="1" borderId="6" applyBorder="1" fontId="3" applyFont="1" fillId="9" applyFill="1" applyAlignment="1">
      <alignment horizontal="center"/>
    </xf>
    <xf xfId="0" numFmtId="0" borderId="3" applyBorder="1" fontId="13" applyFont="1" fillId="10" applyFill="1" applyAlignment="1">
      <alignment horizontal="left"/>
    </xf>
    <xf xfId="0" numFmtId="3" applyNumberFormat="1" borderId="3" applyBorder="1" fontId="12" applyFont="1" fillId="10" applyFill="1" applyAlignment="1">
      <alignment horizontal="left"/>
    </xf>
    <xf xfId="0" numFmtId="3" applyNumberFormat="1" borderId="7" applyBorder="1" fontId="3" applyFont="1" fillId="6" applyFill="1" applyAlignment="1">
      <alignment horizontal="center"/>
    </xf>
    <xf xfId="0" numFmtId="7" applyNumberFormat="1" borderId="2" applyBorder="1" fontId="2" applyFont="1" fillId="0" applyAlignment="1">
      <alignment horizontal="right"/>
    </xf>
    <xf xfId="0" numFmtId="0" borderId="3" applyBorder="1" fontId="7" applyFont="1" fillId="3" applyFill="1" applyAlignment="1">
      <alignment horizontal="left"/>
    </xf>
    <xf xfId="0" numFmtId="3" applyNumberFormat="1" borderId="3" applyBorder="1" fontId="3" applyFont="1" fillId="3" applyFill="1" applyAlignment="1">
      <alignment horizontal="center"/>
    </xf>
    <xf xfId="0" numFmtId="4" applyNumberFormat="1" borderId="2" applyBorder="1" fontId="2" applyFont="1" fillId="0" applyAlignment="1">
      <alignment horizontal="left"/>
    </xf>
    <xf xfId="0" numFmtId="0" borderId="3" applyBorder="1" fontId="7" applyFont="1" fillId="11" applyFill="1" applyAlignment="1">
      <alignment horizontal="justify" vertical="top"/>
    </xf>
    <xf xfId="0" numFmtId="3" applyNumberFormat="1" borderId="3" applyBorder="1" fontId="7" applyFont="1" fillId="11" applyFill="1" applyAlignment="1">
      <alignment horizontal="justify"/>
    </xf>
    <xf xfId="0" numFmtId="3" applyNumberFormat="1" borderId="8" applyBorder="1" fontId="3" applyFont="1" fillId="6" applyFill="1" applyAlignment="1">
      <alignment horizontal="center" vertical="top"/>
    </xf>
    <xf xfId="0" numFmtId="165" applyNumberFormat="1" borderId="2" applyBorder="1" fontId="2" applyFont="1" fillId="0" applyAlignment="1">
      <alignment horizontal="center"/>
    </xf>
    <xf xfId="0" numFmtId="0" borderId="3" applyBorder="1" fontId="7" applyFont="1" fillId="11" applyFill="1" applyAlignment="1">
      <alignment horizontal="justify"/>
    </xf>
    <xf xfId="0" numFmtId="3" applyNumberFormat="1" borderId="9" applyBorder="1" fontId="3" applyFont="1" fillId="6" applyFill="1" applyAlignment="1">
      <alignment horizontal="center"/>
    </xf>
    <xf xfId="0" numFmtId="3" applyNumberFormat="1" borderId="6" applyBorder="1" fontId="3" applyFont="1" fillId="7" applyFill="1" applyAlignment="1">
      <alignment horizontal="center"/>
    </xf>
    <xf xfId="0" numFmtId="165" applyNumberFormat="1" borderId="6" applyBorder="1" fontId="3" applyFont="1" fillId="4" applyFill="1" applyAlignment="1">
      <alignment horizontal="right"/>
    </xf>
    <xf xfId="0" numFmtId="4" applyNumberFormat="1" borderId="7" applyBorder="1" fontId="2" applyFont="1" fillId="7" applyFill="1" applyAlignment="1">
      <alignment horizontal="center"/>
    </xf>
    <xf xfId="0" numFmtId="0" borderId="3" applyBorder="1" fontId="2" applyFont="1" fillId="12" applyFill="1" applyAlignment="1">
      <alignment horizontal="left"/>
    </xf>
    <xf xfId="0" numFmtId="3" applyNumberFormat="1" borderId="3" applyBorder="1" fontId="2" applyFont="1" fillId="12" applyFill="1" applyAlignment="1">
      <alignment horizontal="left"/>
    </xf>
    <xf xfId="0" numFmtId="165" applyNumberFormat="1" borderId="2" applyBorder="1" fontId="14" applyFont="1" fillId="0" applyAlignment="1">
      <alignment horizontal="center"/>
    </xf>
    <xf xfId="0" numFmtId="0" borderId="3" applyBorder="1" fontId="2" applyFont="1" fillId="13" applyFill="1" applyAlignment="1">
      <alignment horizontal="left"/>
    </xf>
    <xf xfId="0" numFmtId="3" applyNumberFormat="1" borderId="3" applyBorder="1" fontId="2" applyFont="1" fillId="13" applyFill="1" applyAlignment="1">
      <alignment horizontal="left"/>
    </xf>
    <xf xfId="0" numFmtId="165" applyNumberFormat="1" borderId="3" applyBorder="1" fontId="2" applyFont="1" fillId="13" applyFill="1" applyAlignment="1">
      <alignment horizontal="left"/>
    </xf>
    <xf xfId="0" numFmtId="0" borderId="6" applyBorder="1" fontId="9" applyFont="1" fillId="4" applyFill="1" applyAlignment="1">
      <alignment horizontal="center" wrapText="1"/>
    </xf>
    <xf xfId="0" numFmtId="0" borderId="3" applyBorder="1" fontId="2" applyFont="1" fillId="3" applyFill="1" applyAlignment="1">
      <alignment horizontal="left"/>
    </xf>
    <xf xfId="0" numFmtId="0" borderId="6" applyBorder="1" fontId="15" applyFont="1" fillId="7" applyFill="1" applyAlignment="1">
      <alignment horizontal="left"/>
    </xf>
    <xf xfId="0" numFmtId="3" applyNumberFormat="1" borderId="6" applyBorder="1" fontId="2" applyFont="1" fillId="7" applyFill="1" applyAlignment="1">
      <alignment horizontal="left" wrapText="1"/>
    </xf>
    <xf xfId="0" numFmtId="0" borderId="6" applyBorder="1" fontId="8" applyFont="1" fillId="4" applyFill="1" applyAlignment="1">
      <alignment horizontal="right" wrapText="1"/>
    </xf>
    <xf xfId="0" numFmtId="3" applyNumberFormat="1" borderId="6" applyBorder="1" fontId="2" applyFont="1" fillId="4" applyFill="1" applyAlignment="1">
      <alignment horizontal="left" wrapText="1"/>
    </xf>
    <xf xfId="0" numFmtId="168" applyNumberFormat="1" borderId="6" applyBorder="1" fontId="8" applyFont="1" fillId="5" applyFill="1" applyAlignment="1">
      <alignment horizontal="center" wrapText="1"/>
    </xf>
    <xf xfId="0" numFmtId="165" applyNumberFormat="1" borderId="6" applyBorder="1" fontId="8" applyFont="1" fillId="5" applyFill="1" applyAlignment="1">
      <alignment horizontal="center" wrapText="1"/>
    </xf>
    <xf xfId="0" numFmtId="165" applyNumberFormat="1" borderId="6" applyBorder="1" fontId="3" applyFont="1" fillId="6" applyFill="1" applyAlignment="1">
      <alignment horizontal="center"/>
    </xf>
    <xf xfId="0" numFmtId="3" applyNumberFormat="1" borderId="2" applyBorder="1" fontId="2" applyFont="1" fillId="0" applyAlignment="1">
      <alignment horizontal="left" wrapText="1"/>
    </xf>
    <xf xfId="0" numFmtId="165" applyNumberFormat="1" borderId="2" applyBorder="1" fontId="2" applyFont="1" fillId="0" applyAlignment="1">
      <alignment horizontal="left" wrapText="1"/>
    </xf>
    <xf xfId="0" numFmtId="0" borderId="3" applyBorder="1" fontId="3" applyFont="1" fillId="3" applyFill="1" applyAlignment="1">
      <alignment horizontal="left"/>
    </xf>
    <xf xfId="0" numFmtId="0" borderId="3" applyBorder="1" fontId="16" applyFont="1" fillId="10" applyFill="1" applyAlignment="1">
      <alignment horizontal="justify" vertical="top"/>
    </xf>
    <xf xfId="0" numFmtId="3" applyNumberFormat="1" borderId="3" applyBorder="1" fontId="16" applyFont="1" fillId="10" applyFill="1" applyAlignment="1">
      <alignment horizontal="justify"/>
    </xf>
    <xf xfId="0" numFmtId="0" borderId="3" applyBorder="1" fontId="16" applyFont="1" fillId="10" applyFill="1" applyAlignment="1">
      <alignment horizontal="justify"/>
    </xf>
    <xf xfId="0" numFmtId="1" applyNumberFormat="1" borderId="7" applyBorder="1" fontId="2" applyFont="1" fillId="3" applyFill="1" applyAlignment="1">
      <alignment horizontal="center"/>
    </xf>
    <xf xfId="0" numFmtId="3" applyNumberFormat="1" borderId="6" applyBorder="1" fontId="3" applyFont="1" fillId="7" applyFill="1" applyAlignment="1">
      <alignment horizontal="left" wrapText="1"/>
    </xf>
    <xf xfId="0" numFmtId="165" applyNumberFormat="1" borderId="6" applyBorder="1" fontId="11" applyFont="1" fillId="7" applyFill="1" applyAlignment="1">
      <alignment horizontal="center" wrapText="1"/>
    </xf>
    <xf xfId="0" numFmtId="0" borderId="6" applyBorder="1" fontId="2" applyFont="1" fillId="4" applyFill="1" applyAlignment="1">
      <alignment horizontal="left"/>
    </xf>
    <xf xfId="0" numFmtId="3" applyNumberFormat="1" borderId="6" applyBorder="1" fontId="2" applyFont="1" fillId="4" applyFill="1" applyAlignment="1">
      <alignment horizontal="right" wrapText="1"/>
    </xf>
    <xf xfId="0" numFmtId="3" applyNumberFormat="1" borderId="2" applyBorder="1" fontId="2" applyFont="1" fillId="0" applyAlignment="1">
      <alignment horizontal="right" wrapText="1"/>
    </xf>
    <xf xfId="0" numFmtId="168" applyNumberFormat="1" borderId="2" applyBorder="1" fontId="2" applyFont="1" fillId="0" applyAlignment="1">
      <alignment horizontal="right"/>
    </xf>
    <xf xfId="0" numFmtId="165" applyNumberFormat="1" borderId="2" applyBorder="1" fontId="14" applyFont="1" fillId="0" applyAlignment="1">
      <alignment horizontal="left"/>
    </xf>
    <xf xfId="0" numFmtId="0" borderId="3" applyBorder="1" fontId="16" applyFont="1" fillId="10" applyFill="1" applyAlignment="1">
      <alignment horizontal="left"/>
    </xf>
    <xf xfId="0" numFmtId="0" borderId="3" applyBorder="1" fontId="13" applyFont="1" fillId="10" applyFill="1" applyAlignment="1">
      <alignment horizontal="justify" vertical="top"/>
    </xf>
    <xf xfId="0" numFmtId="4" applyNumberFormat="1" borderId="3" applyBorder="1" fontId="2" applyFont="1" fillId="3" applyFill="1" applyAlignment="1">
      <alignment horizontal="right"/>
    </xf>
    <xf xfId="0" numFmtId="0" borderId="3" applyBorder="1" fontId="17" applyFont="1" fillId="4" applyFill="1" applyAlignment="1">
      <alignment horizontal="left"/>
    </xf>
    <xf xfId="0" numFmtId="3" applyNumberFormat="1" borderId="3" applyBorder="1" fontId="5" applyFont="1" fillId="4" applyFill="1" applyAlignment="1">
      <alignment horizontal="left"/>
    </xf>
    <xf xfId="0" numFmtId="165" applyNumberFormat="1" borderId="3" applyBorder="1" fontId="5" applyFont="1" fillId="4" applyFill="1" applyAlignment="1">
      <alignment horizontal="left"/>
    </xf>
    <xf xfId="0" numFmtId="3" applyNumberFormat="1" borderId="3" applyBorder="1" fontId="4" applyFont="1" fillId="4" applyFill="1" applyAlignment="1">
      <alignment horizontal="right"/>
    </xf>
    <xf xfId="0" numFmtId="165" applyNumberFormat="1" borderId="3" applyBorder="1" fontId="18" applyFont="1" fillId="4" applyFill="1" applyAlignment="1">
      <alignment horizontal="center"/>
    </xf>
    <xf xfId="0" numFmtId="0" borderId="2" applyBorder="1" fontId="19" applyFont="1" fillId="0" applyAlignment="1">
      <alignment horizontal="left"/>
    </xf>
    <xf xfId="0" numFmtId="165" applyNumberFormat="1" borderId="6" applyBorder="1" fontId="2" applyFont="1" fillId="4" applyFill="1" applyAlignment="1">
      <alignment horizontal="center" wrapText="1"/>
    </xf>
    <xf xfId="0" numFmtId="165" applyNumberFormat="1" borderId="6" applyBorder="1" fontId="2" applyFont="1" fillId="11" applyFill="1" applyAlignment="1">
      <alignment horizontal="center" wrapText="1"/>
    </xf>
    <xf xfId="0" numFmtId="165" applyNumberFormat="1" borderId="7" applyBorder="1" fontId="2" applyFont="1" fillId="8" applyFill="1" applyAlignment="1">
      <alignment horizontal="center" wrapText="1"/>
    </xf>
    <xf xfId="0" numFmtId="0" borderId="6" applyBorder="1" fontId="11" applyFont="1" fillId="4" applyFill="1" applyAlignment="1">
      <alignment horizontal="left"/>
    </xf>
    <xf xfId="0" numFmtId="3" applyNumberFormat="1" borderId="6" applyBorder="1" fontId="3" applyFont="1" fillId="4" applyFill="1" applyAlignment="1">
      <alignment horizontal="left" wrapText="1"/>
    </xf>
    <xf xfId="0" numFmtId="165" applyNumberFormat="1" borderId="6" applyBorder="1" fontId="11" applyFont="1" fillId="4" applyFill="1" applyAlignment="1">
      <alignment horizontal="center" wrapText="1"/>
    </xf>
    <xf xfId="0" numFmtId="3" applyNumberFormat="1" borderId="6" applyBorder="1" fontId="2" applyFont="1" fillId="4" applyFill="1" applyAlignment="1">
      <alignment horizontal="center" wrapText="1"/>
    </xf>
    <xf xfId="0" numFmtId="168" applyNumberFormat="1" borderId="6" applyBorder="1" fontId="2" applyFont="1" fillId="4" applyFill="1" applyAlignment="1">
      <alignment horizontal="center"/>
    </xf>
    <xf xfId="0" numFmtId="165" applyNumberFormat="1" borderId="6" applyBorder="1" fontId="2" applyFont="1" fillId="8" applyFill="1" applyAlignment="1">
      <alignment horizontal="center"/>
    </xf>
    <xf xfId="0" numFmtId="0" borderId="2" applyBorder="1" fontId="20" applyFont="1" fillId="0" applyAlignment="1">
      <alignment horizontal="left"/>
    </xf>
    <xf xfId="0" numFmtId="165" applyNumberFormat="1" borderId="5" applyBorder="1" fontId="2" applyFont="1" fillId="0" applyAlignment="1">
      <alignment horizontal="center"/>
    </xf>
    <xf xfId="0" numFmtId="165" applyNumberFormat="1" borderId="2" applyBorder="1" fontId="2" applyFont="1" fillId="0" applyAlignment="1">
      <alignment horizontal="right"/>
    </xf>
    <xf xfId="0" numFmtId="0" borderId="3" applyBorder="1" fontId="21" applyFont="1" fillId="10" applyFill="1" applyAlignment="1">
      <alignment horizontal="left"/>
    </xf>
    <xf xfId="0" numFmtId="3" applyNumberFormat="1" borderId="10" applyBorder="1" fontId="3" applyFont="1" fillId="10" applyFill="1" applyAlignment="1">
      <alignment horizontal="center"/>
    </xf>
    <xf xfId="0" numFmtId="0" borderId="6" applyBorder="1" fontId="3" applyFont="1" fillId="14" applyFill="1" applyAlignment="1">
      <alignment horizontal="left"/>
    </xf>
    <xf xfId="0" numFmtId="3" applyNumberFormat="1" borderId="6" applyBorder="1" fontId="3" applyFont="1" fillId="14" applyFill="1" applyAlignment="1">
      <alignment horizontal="center"/>
    </xf>
    <xf xfId="0" numFmtId="3" applyNumberFormat="1" borderId="6" applyBorder="1" fontId="12" applyFont="1" fillId="14" applyFill="1" applyAlignment="1">
      <alignment horizontal="right"/>
    </xf>
    <xf xfId="0" numFmtId="3" applyNumberFormat="1" borderId="6" applyBorder="1" fontId="2" applyFont="1" fillId="14" applyFill="1" applyAlignment="1">
      <alignment horizontal="right"/>
    </xf>
    <xf xfId="0" numFmtId="0" borderId="6" applyBorder="1" fontId="3" applyFont="1" fillId="14" applyFill="1" applyAlignment="1">
      <alignment horizontal="center"/>
    </xf>
    <xf xfId="0" numFmtId="165" applyNumberFormat="1" borderId="6" applyBorder="1" fontId="2" applyFont="1" fillId="14" applyFill="1" applyAlignment="1">
      <alignment horizontal="left"/>
    </xf>
    <xf xfId="0" numFmtId="165" applyNumberFormat="1" borderId="6" applyBorder="1" fontId="2" applyFont="1" fillId="14" applyFill="1" applyAlignment="1">
      <alignment horizontal="right"/>
    </xf>
    <xf xfId="0" numFmtId="165" applyNumberFormat="1" borderId="2" applyBorder="1" fontId="22" applyFont="1" fillId="0" applyAlignment="1">
      <alignment horizontal="right"/>
    </xf>
    <xf xfId="0" numFmtId="3" applyNumberFormat="1" borderId="2" applyBorder="1" fontId="23" applyFont="1" fillId="0" applyAlignment="1">
      <alignment horizontal="left"/>
    </xf>
    <xf xfId="0" numFmtId="3" applyNumberFormat="1" borderId="2" applyBorder="1" fontId="24" applyFont="1" fillId="0" applyAlignment="1">
      <alignment horizontal="left"/>
    </xf>
    <xf xfId="0" numFmtId="165" applyNumberFormat="1" borderId="2" applyBorder="1" fontId="24" applyFont="1" fillId="0" applyAlignment="1">
      <alignment horizontal="right"/>
    </xf>
    <xf xfId="0" numFmtId="165" applyNumberFormat="1" borderId="2" applyBorder="1" fontId="25" applyFont="1" fillId="0" applyAlignment="1">
      <alignment horizontal="left"/>
    </xf>
    <xf xfId="0" numFmtId="165" applyNumberFormat="1" borderId="2" applyBorder="1" fontId="24" applyFont="1" fillId="0" applyAlignment="1">
      <alignment horizontal="left"/>
    </xf>
    <xf xfId="0" numFmtId="165" applyNumberFormat="1" borderId="7" applyBorder="1" fontId="2" applyFont="1" fillId="9" applyFill="1" applyAlignment="1">
      <alignment horizontal="center" wrapText="1"/>
    </xf>
    <xf xfId="0" numFmtId="0" borderId="2" applyBorder="1" fontId="24" applyFont="1" fillId="0" applyAlignment="1">
      <alignment horizontal="left"/>
    </xf>
    <xf xfId="0" numFmtId="0" borderId="3" applyBorder="1" fontId="26" applyFont="1" fillId="15" applyFill="1" applyAlignment="1">
      <alignment horizontal="left"/>
    </xf>
    <xf xfId="0" numFmtId="3" applyNumberFormat="1" borderId="3" applyBorder="1" fontId="27" applyFont="1" fillId="15" applyFill="1" applyAlignment="1">
      <alignment horizontal="left"/>
    </xf>
    <xf xfId="0" numFmtId="165" applyNumberFormat="1" borderId="3" applyBorder="1" fontId="27" applyFont="1" fillId="15" applyFill="1" applyAlignment="1">
      <alignment horizontal="right"/>
    </xf>
    <xf xfId="0" numFmtId="165" applyNumberFormat="1" borderId="3" applyBorder="1" fontId="28" applyFont="1" fillId="15" applyFill="1" applyAlignment="1">
      <alignment horizontal="left"/>
    </xf>
    <xf xfId="0" numFmtId="165" applyNumberFormat="1" borderId="3" applyBorder="1" fontId="27" applyFont="1" fillId="15" applyFill="1" applyAlignment="1">
      <alignment horizontal="left"/>
    </xf>
    <xf xfId="0" numFmtId="165" applyNumberFormat="1" borderId="3" applyBorder="1" fontId="29" applyFont="1" fillId="16" applyFill="1" applyAlignment="1">
      <alignment horizontal="center" vertical="top" wrapText="1"/>
    </xf>
    <xf xfId="0" numFmtId="0" borderId="6" applyBorder="1" fontId="4" applyFont="1" fillId="13" applyFill="1" applyAlignment="1">
      <alignment horizontal="left"/>
    </xf>
    <xf xfId="0" numFmtId="3" applyNumberFormat="1" borderId="6" applyBorder="1" fontId="4" applyFont="1" fillId="13" applyFill="1" applyAlignment="1">
      <alignment horizontal="left" wrapText="1"/>
    </xf>
    <xf xfId="0" numFmtId="165" applyNumberFormat="1" borderId="6" applyBorder="1" fontId="5" applyFont="1" fillId="13" applyFill="1" applyAlignment="1">
      <alignment horizontal="center" wrapText="1"/>
    </xf>
    <xf xfId="0" numFmtId="165" applyNumberFormat="1" borderId="6" applyBorder="1" fontId="5" applyFont="1" fillId="13" applyFill="1" applyAlignment="1">
      <alignment horizontal="center"/>
    </xf>
    <xf xfId="0" numFmtId="169" applyNumberFormat="1" borderId="6" applyBorder="1" fontId="5" applyFont="1" fillId="13" applyFill="1" applyAlignment="1">
      <alignment horizontal="center"/>
    </xf>
    <xf xfId="0" numFmtId="165" applyNumberFormat="1" borderId="3" applyBorder="1" fontId="29" applyFont="1" fillId="16" applyFill="1" applyAlignment="1">
      <alignment horizontal="center" wrapText="1"/>
    </xf>
    <xf xfId="0" numFmtId="0" borderId="11" applyBorder="1" fontId="3" applyFont="1" fillId="4" applyFill="1" applyAlignment="1">
      <alignment horizontal="left"/>
    </xf>
    <xf xfId="0" numFmtId="3" applyNumberFormat="1" borderId="11" applyBorder="1" fontId="3" applyFont="1" fillId="4" applyFill="1" applyAlignment="1">
      <alignment horizontal="center"/>
    </xf>
    <xf xfId="0" numFmtId="165" applyNumberFormat="1" borderId="2" applyBorder="1" fontId="30" applyFont="1" fillId="0" applyAlignment="1">
      <alignment horizontal="left"/>
    </xf>
    <xf xfId="0" numFmtId="165" applyNumberFormat="1" borderId="2" applyBorder="1" fontId="31" applyFont="1" fillId="0" applyAlignment="1">
      <alignment horizontal="left"/>
    </xf>
    <xf xfId="0" numFmtId="3" applyNumberFormat="1" borderId="6" applyBorder="1" fontId="4" applyFont="1" fillId="13" applyFill="1" applyAlignment="1">
      <alignment horizontal="center"/>
    </xf>
    <xf xfId="0" numFmtId="165" applyNumberFormat="1" borderId="6" applyBorder="1" fontId="5" applyFont="1" fillId="13" applyFill="1" applyAlignment="1">
      <alignment horizontal="left"/>
    </xf>
    <xf xfId="0" numFmtId="165" applyNumberFormat="1" borderId="6" applyBorder="1" fontId="5" applyFont="1" fillId="13" applyFill="1" applyAlignment="1">
      <alignment horizontal="right"/>
    </xf>
    <xf xfId="0" numFmtId="3" applyNumberFormat="1" borderId="6" applyBorder="1" fontId="5" applyFont="1" fillId="13" applyFill="1" applyAlignment="1">
      <alignment horizontal="left" wrapText="1"/>
    </xf>
    <xf xfId="0" numFmtId="165" applyNumberFormat="1" borderId="6" applyBorder="1" fontId="4" applyFont="1" fillId="13" applyFill="1" applyAlignment="1">
      <alignment horizontal="center" wrapText="1"/>
    </xf>
    <xf xfId="0" numFmtId="170" applyNumberFormat="1" borderId="2" applyBorder="1" fontId="24" applyFont="1" fillId="0" applyAlignment="1">
      <alignment horizontal="right"/>
    </xf>
    <xf xfId="0" numFmtId="165" applyNumberFormat="1" borderId="2" applyBorder="1" fontId="32" applyFont="1" fillId="0" applyAlignment="1">
      <alignment horizontal="left"/>
    </xf>
    <xf xfId="0" numFmtId="165" applyNumberFormat="1" borderId="3" applyBorder="1" fontId="2" applyFont="1" fillId="3" applyFill="1" applyAlignment="1">
      <alignment horizontal="left"/>
    </xf>
    <xf xfId="0" numFmtId="3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3" applyNumberFormat="1" borderId="2" applyBorder="1" fontId="4" applyFont="1" fillId="0" applyAlignment="1">
      <alignment horizontal="left"/>
    </xf>
    <xf xfId="0" numFmtId="164" applyNumberFormat="1" borderId="2" applyBorder="1" fontId="4" applyFont="1" fillId="0" applyAlignment="1">
      <alignment horizontal="left"/>
    </xf>
    <xf xfId="0" numFmtId="164" applyNumberFormat="1" borderId="3" applyBorder="1" fontId="9" applyFont="1" fillId="2" applyFill="1" applyAlignment="1">
      <alignment horizontal="left"/>
    </xf>
    <xf xfId="0" numFmtId="164" applyNumberFormat="1" borderId="3" applyBorder="1" fontId="10" applyFont="1" fillId="2" applyFill="1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164" applyNumberFormat="1" borderId="4" applyBorder="1" fontId="6" applyFont="1" fillId="0" applyAlignment="1">
      <alignment horizontal="center"/>
    </xf>
    <xf xfId="0" numFmtId="0" borderId="12" applyBorder="1" fontId="3" applyFont="1" fillId="4" applyFill="1" applyAlignment="1">
      <alignment horizontal="center"/>
    </xf>
    <xf xfId="0" numFmtId="3" applyNumberFormat="1" borderId="12" applyBorder="1" fontId="3" applyFont="1" fillId="4" applyFill="1" applyAlignment="1">
      <alignment horizontal="center"/>
    </xf>
    <xf xfId="0" numFmtId="164" applyNumberFormat="1" borderId="6" applyBorder="1" fontId="2" applyFont="1" fillId="4" applyFill="1" applyAlignment="1">
      <alignment horizontal="right"/>
    </xf>
    <xf xfId="0" numFmtId="3" applyNumberFormat="1" borderId="6" applyBorder="1" fontId="2" applyFont="1" fillId="4" applyFill="1" applyAlignment="1">
      <alignment horizontal="right"/>
    </xf>
    <xf xfId="0" numFmtId="3" applyNumberFormat="1" borderId="13" applyBorder="1" fontId="2" applyFont="1" fillId="4" applyFill="1" applyAlignment="1">
      <alignment horizontal="right"/>
    </xf>
    <xf xfId="0" numFmtId="164" applyNumberFormat="1" borderId="13" applyBorder="1" fontId="2" applyFont="1" fillId="4" applyFill="1" applyAlignment="1">
      <alignment horizontal="right"/>
    </xf>
    <xf xfId="0" numFmtId="3" applyNumberFormat="1" borderId="14" applyBorder="1" fontId="3" applyFont="1" fillId="4" applyFill="1" applyAlignment="1">
      <alignment horizontal="center"/>
    </xf>
    <xf xfId="0" numFmtId="3" applyNumberFormat="1" borderId="15" applyBorder="1" fontId="2" applyFont="1" fillId="4" applyFill="1" applyAlignment="1">
      <alignment horizontal="right"/>
    </xf>
    <xf xfId="0" numFmtId="164" applyNumberFormat="1" borderId="15" applyBorder="1" fontId="2" applyFont="1" fillId="4" applyFill="1" applyAlignment="1">
      <alignment horizontal="right"/>
    </xf>
    <xf xfId="0" numFmtId="4" applyNumberFormat="1" borderId="6" applyBorder="1" fontId="2" applyFont="1" fillId="4" applyFill="1" applyAlignment="1">
      <alignment horizontal="right"/>
    </xf>
    <xf xfId="0" numFmtId="4" applyNumberFormat="1" borderId="13" applyBorder="1" fontId="2" applyFont="1" fillId="4" applyFill="1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2" applyBorder="1" fontId="3" applyFont="1" fillId="0" applyAlignment="1">
      <alignment horizontal="left"/>
    </xf>
    <xf xfId="0" numFmtId="3" applyNumberFormat="1" borderId="3" applyBorder="1" fontId="4" applyFont="1" fillId="2" applyFill="1" applyAlignment="1">
      <alignment horizontal="left"/>
    </xf>
    <xf xfId="0" numFmtId="3" applyNumberFormat="1" borderId="3" applyBorder="1" fontId="5" applyFont="1" fillId="2" applyFill="1" applyAlignment="1">
      <alignment horizontal="left"/>
    </xf>
    <xf xfId="0" numFmtId="0" borderId="6" applyBorder="1" fontId="3" applyFont="1" fillId="4" applyFill="1" applyAlignment="1">
      <alignment horizontal="center"/>
    </xf>
    <xf xfId="0" numFmtId="0" borderId="3" applyBorder="1" fontId="3" applyFont="1" fillId="4" applyFill="1" applyAlignment="1">
      <alignment horizontal="center"/>
    </xf>
    <xf xfId="0" numFmtId="1" applyNumberFormat="1" borderId="6" applyBorder="1" fontId="2" applyFont="1" fillId="4" applyFill="1" applyAlignment="1">
      <alignment horizontal="right"/>
    </xf>
    <xf xfId="0" numFmtId="3" applyNumberFormat="1" borderId="3" applyBorder="1" fontId="2" applyFont="1" fillId="3" applyFill="1" applyAlignment="1">
      <alignment horizontal="right"/>
    </xf>
    <xf xfId="0" numFmtId="0" borderId="16" applyBorder="1" fontId="3" applyFont="1" fillId="4" applyFill="1" applyAlignment="1">
      <alignment horizontal="center"/>
    </xf>
    <xf xfId="0" numFmtId="3" applyNumberFormat="1" borderId="16" applyBorder="1" fontId="3" applyFont="1" fillId="4" applyFill="1" applyAlignment="1">
      <alignment horizontal="right"/>
    </xf>
    <xf xfId="0" numFmtId="0" borderId="10" applyBorder="1" fontId="3" applyFont="1" fillId="4" applyFill="1" applyAlignment="1">
      <alignment horizontal="center"/>
    </xf>
    <xf xfId="0" numFmtId="3" applyNumberFormat="1" borderId="3" applyBorder="1" fontId="33" applyFont="1" fillId="3" applyFill="1" applyAlignment="1">
      <alignment horizontal="left"/>
    </xf>
    <xf xfId="0" numFmtId="3" applyNumberFormat="1" borderId="3" applyBorder="1" fontId="16" applyFont="1" fillId="3" applyFill="1" applyAlignment="1">
      <alignment horizontal="right"/>
    </xf>
    <xf xfId="0" numFmtId="3" applyNumberFormat="1" borderId="3" applyBorder="1" fontId="33" applyFont="1" fillId="3" applyFill="1" applyAlignment="1">
      <alignment horizontal="right"/>
    </xf>
    <xf xfId="0" numFmtId="3" applyNumberFormat="1" borderId="3" applyBorder="1" fontId="5" applyFont="1" fillId="3" applyFill="1" applyAlignment="1">
      <alignment horizontal="left"/>
    </xf>
    <xf xfId="0" numFmtId="3" applyNumberFormat="1" borderId="2" applyBorder="1" fontId="5" applyFont="1" fillId="0" applyAlignment="1">
      <alignment horizontal="left"/>
    </xf>
    <xf xfId="0" numFmtId="3" applyNumberFormat="1" borderId="3" applyBorder="1" fontId="9" applyFont="1" fillId="2" applyFill="1" applyAlignment="1">
      <alignment horizontal="left"/>
    </xf>
    <xf xfId="0" numFmtId="3" applyNumberFormat="1" borderId="3" applyBorder="1" fontId="10" applyFont="1" fillId="2" applyFill="1" applyAlignment="1">
      <alignment horizontal="left"/>
    </xf>
    <xf xfId="0" numFmtId="0" borderId="10" applyBorder="1" fontId="3" applyFont="1" fillId="4" applyFill="1" applyAlignment="1">
      <alignment horizontal="center" wrapText="1"/>
    </xf>
    <xf xfId="0" numFmtId="0" borderId="17" applyBorder="1" fontId="2" applyFont="1" fillId="4" applyFill="1" applyAlignment="1">
      <alignment horizontal="left"/>
    </xf>
    <xf xfId="0" numFmtId="3" applyNumberFormat="1" borderId="3" applyBorder="1" fontId="2" applyFont="1" fillId="4" applyFill="1" applyAlignment="1">
      <alignment horizontal="right"/>
    </xf>
    <xf xfId="0" numFmtId="0" borderId="7" applyBorder="1" fontId="3" applyFont="1" fillId="4" applyFill="1" applyAlignment="1">
      <alignment horizontal="center" wrapText="1"/>
    </xf>
    <xf xfId="0" numFmtId="3" applyNumberFormat="1" borderId="7" applyBorder="1" fontId="2" applyFont="1" fillId="4" applyFill="1" applyAlignment="1">
      <alignment horizontal="right"/>
    </xf>
    <xf xfId="0" numFmtId="3" applyNumberFormat="1" borderId="11" applyBorder="1" fontId="2" applyFont="1" fillId="4" applyFill="1" applyAlignment="1">
      <alignment horizontal="right"/>
    </xf>
    <xf xfId="0" numFmtId="3" applyNumberFormat="1" borderId="6" applyBorder="1" fontId="2" applyFont="1" fillId="11" applyFill="1" applyAlignment="1">
      <alignment horizontal="right"/>
    </xf>
    <xf xfId="0" numFmtId="0" borderId="7" applyBorder="1" fontId="3" applyFont="1" fillId="4" applyFill="1" applyAlignment="1">
      <alignment horizontal="left" wrapText="1"/>
    </xf>
    <xf xfId="0" numFmtId="3" applyNumberFormat="1" borderId="1" applyBorder="1" fontId="2" applyFont="1" fillId="0" applyAlignment="1">
      <alignment horizontal="right"/>
    </xf>
    <xf xfId="0" numFmtId="0" borderId="2" applyBorder="1" fontId="34" applyFont="1" fillId="0" applyAlignment="1">
      <alignment horizontal="left"/>
    </xf>
    <xf xfId="0" numFmtId="0" borderId="11" applyBorder="1" fontId="2" applyFont="1" fillId="4" applyFill="1" applyAlignment="1">
      <alignment horizontal="left"/>
    </xf>
    <xf xfId="0" numFmtId="0" borderId="3" applyBorder="1" fontId="34" applyFont="1" fillId="4" applyFill="1" applyAlignment="1">
      <alignment horizontal="left"/>
    </xf>
    <xf xfId="0" numFmtId="3" applyNumberFormat="1" borderId="3" applyBorder="1" fontId="34" applyFont="1" fillId="4" applyFill="1" applyAlignment="1">
      <alignment horizontal="left"/>
    </xf>
    <xf xfId="0" numFmtId="0" borderId="16" applyBorder="1" fontId="3" applyFont="1" fillId="4" applyFill="1" applyAlignment="1">
      <alignment horizontal="left"/>
    </xf>
    <xf xfId="0" numFmtId="3" applyNumberFormat="1" borderId="3" applyBorder="1" fontId="2" applyFont="1" fillId="3" applyFill="1" applyAlignment="1">
      <alignment horizontal="center"/>
    </xf>
    <xf xfId="0" numFmtId="3" applyNumberFormat="1" borderId="3" applyBorder="1" fontId="3" applyFont="1" fillId="3" applyFill="1" applyAlignment="1">
      <alignment horizontal="right"/>
    </xf>
    <xf xfId="0" numFmtId="3" applyNumberFormat="1" borderId="3" applyBorder="1" fontId="35" applyFont="1" fillId="3" applyFill="1" applyAlignment="1">
      <alignment horizontal="right"/>
    </xf>
    <xf xfId="0" numFmtId="3" applyNumberFormat="1" borderId="3" applyBorder="1" fontId="34" applyFont="1" fillId="3" applyFill="1" applyAlignment="1">
      <alignment horizontal="left"/>
    </xf>
    <xf xfId="0" numFmtId="3" applyNumberFormat="1" borderId="2" applyBorder="1" fontId="10" applyFont="1" fillId="0" applyAlignment="1">
      <alignment horizontal="left"/>
    </xf>
    <xf xfId="0" numFmtId="171" applyNumberFormat="1" borderId="2" applyBorder="1" fontId="2" applyFont="1" fillId="0" applyAlignment="1">
      <alignment horizontal="center"/>
    </xf>
    <xf xfId="0" numFmtId="0" borderId="10" applyBorder="1" fontId="2" applyFont="1" fillId="4" applyFill="1" applyAlignment="1">
      <alignment horizontal="left"/>
    </xf>
    <xf xfId="0" numFmtId="3" applyNumberFormat="1" borderId="2" applyBorder="1" fontId="36" applyFont="1" fillId="0" applyAlignment="1">
      <alignment horizontal="right"/>
    </xf>
    <xf xfId="0" numFmtId="4" applyNumberFormat="1" borderId="2" applyBorder="1" fontId="10" applyFont="1" fillId="0" applyAlignment="1">
      <alignment horizontal="left"/>
    </xf>
    <xf xfId="0" numFmtId="4" applyNumberFormat="1" borderId="2" applyBorder="1" fontId="5" applyFont="1" fillId="0" applyAlignment="1">
      <alignment horizontal="left"/>
    </xf>
    <xf xfId="0" numFmtId="4" applyNumberFormat="1" borderId="3" applyBorder="1" fontId="10" applyFont="1" fillId="2" applyFill="1" applyAlignment="1">
      <alignment horizontal="left"/>
    </xf>
    <xf xfId="0" numFmtId="4" applyNumberFormat="1" borderId="4" applyBorder="1" fontId="6" applyFont="1" fillId="0" applyAlignment="1">
      <alignment horizontal="center"/>
    </xf>
    <xf xfId="0" numFmtId="0" borderId="6" applyBorder="1" fontId="2" applyFont="1" fillId="4" applyFill="1" applyAlignment="1">
      <alignment horizontal="left"/>
    </xf>
    <xf xfId="0" numFmtId="4" applyNumberFormat="1" borderId="6" applyBorder="1" fontId="2" applyFont="1" fillId="11" applyFill="1" applyAlignment="1">
      <alignment horizontal="right"/>
    </xf>
    <xf xfId="0" numFmtId="4" applyNumberFormat="1" borderId="6" applyBorder="1" fontId="3" applyFont="1" fillId="11" applyFill="1" applyAlignment="1">
      <alignment horizontal="right"/>
    </xf>
    <xf xfId="0" numFmtId="4" applyNumberFormat="1" borderId="11" applyBorder="1" fontId="3" applyFont="1" fillId="17" applyFill="1" applyAlignment="1">
      <alignment horizontal="right"/>
    </xf>
    <xf xfId="0" numFmtId="3" applyNumberFormat="1" borderId="3" applyBorder="1" fontId="10" applyFont="1" fillId="2" applyFill="1" applyAlignment="1">
      <alignment horizontal="right"/>
    </xf>
    <xf xfId="0" numFmtId="0" borderId="4" applyBorder="1" fontId="37" applyFont="1" fillId="0" applyAlignment="1">
      <alignment horizontal="center"/>
    </xf>
    <xf xfId="0" numFmtId="3" applyNumberFormat="1" borderId="4" applyBorder="1" fontId="37" applyFont="1" fillId="0" applyAlignment="1">
      <alignment horizontal="center"/>
    </xf>
    <xf xfId="0" numFmtId="3" applyNumberFormat="1" borderId="6" applyBorder="1" fontId="3" applyFont="1" fillId="4" applyFill="1" applyAlignment="1">
      <alignment horizontal="left"/>
    </xf>
    <xf xfId="0" numFmtId="3" applyNumberFormat="1" borderId="6" applyBorder="1" fontId="2" applyFont="1" fillId="4" applyFill="1" applyAlignment="1">
      <alignment horizontal="left"/>
    </xf>
    <xf xfId="0" numFmtId="165" applyNumberFormat="1" borderId="5" applyBorder="1" fontId="16" applyFont="1" fillId="0" applyAlignment="1">
      <alignment horizontal="center"/>
    </xf>
    <xf xfId="0" numFmtId="165" applyNumberFormat="1" borderId="5" applyBorder="1" fontId="38" applyFont="1" fillId="0" applyAlignment="1">
      <alignment horizontal="center"/>
    </xf>
    <xf xfId="0" numFmtId="3" applyNumberFormat="1" borderId="16" applyBorder="1" fontId="3" applyFont="1" fillId="4" applyFill="1" applyAlignment="1">
      <alignment horizontal="left"/>
    </xf>
    <xf xfId="0" numFmtId="0" borderId="16" applyBorder="1" fontId="2" applyFont="1" fillId="4" applyFill="1" applyAlignment="1">
      <alignment horizontal="left"/>
    </xf>
    <xf xfId="0" numFmtId="3" applyNumberFormat="1" borderId="6" applyBorder="1" fontId="2" applyFont="1" fillId="6" applyFill="1" applyAlignment="1">
      <alignment horizontal="right"/>
    </xf>
    <xf xfId="0" numFmtId="3" applyNumberFormat="1" borderId="10" applyBorder="1" fontId="2" applyFont="1" fillId="4" applyFill="1" applyAlignment="1">
      <alignment horizontal="left"/>
    </xf>
    <xf xfId="0" numFmtId="3" applyNumberFormat="1" borderId="18" applyBorder="1" fontId="2" applyFont="1" fillId="0" applyAlignment="1">
      <alignment horizontal="right"/>
    </xf>
    <xf xfId="0" numFmtId="3" applyNumberFormat="1" borderId="16" applyBorder="1" fontId="3" applyFont="1" fillId="4" applyFill="1" applyAlignment="1">
      <alignment horizontal="center"/>
    </xf>
    <xf xfId="0" numFmtId="170" applyNumberFormat="1" borderId="2" applyBorder="1" fontId="2" applyFont="1" fillId="0" applyAlignment="1">
      <alignment horizontal="right"/>
    </xf>
    <xf xfId="0" numFmtId="4" applyNumberFormat="1" borderId="7" applyBorder="1" fontId="2" applyFont="1" fillId="6" applyFill="1" applyAlignment="1">
      <alignment horizontal="center"/>
    </xf>
    <xf xfId="0" numFmtId="167" applyNumberFormat="1" borderId="2" applyBorder="1" fontId="2" applyFont="1" fillId="0" applyAlignment="1">
      <alignment horizontal="right"/>
    </xf>
    <xf xfId="0" numFmtId="165" applyNumberFormat="1" borderId="7" applyBorder="1" fontId="16" applyFont="1" fillId="6" applyFill="1" applyAlignment="1">
      <alignment horizontal="center"/>
    </xf>
    <xf xfId="0" numFmtId="3" applyNumberFormat="1" borderId="10" applyBorder="1" fontId="2" applyFont="1" fillId="4" applyFill="1" applyAlignment="1">
      <alignment horizontal="right"/>
    </xf>
    <xf xfId="0" numFmtId="164" applyNumberFormat="1" borderId="3" applyBorder="1" fontId="2" applyFont="1" fillId="4" applyFill="1" applyAlignment="1">
      <alignment horizontal="right"/>
    </xf>
    <xf xfId="0" numFmtId="3" applyNumberFormat="1" borderId="3" applyBorder="1" fontId="2" applyFont="1" fillId="4" applyFill="1" applyAlignment="1">
      <alignment horizontal="left"/>
    </xf>
    <xf xfId="0" numFmtId="165" applyNumberFormat="1" borderId="7" applyBorder="1" fontId="39" applyFont="1" fillId="6" applyFill="1" applyAlignment="1">
      <alignment horizontal="center"/>
    </xf>
    <xf xfId="0" numFmtId="165" applyNumberFormat="1" borderId="2" applyBorder="1" fontId="5" applyFont="1" fillId="0" applyAlignment="1">
      <alignment horizontal="left"/>
    </xf>
    <xf xfId="0" numFmtId="3" applyNumberFormat="1" borderId="2" applyBorder="1" fontId="40" applyFont="1" fillId="0" applyAlignment="1">
      <alignment horizontal="center"/>
    </xf>
    <xf xfId="0" numFmtId="165" applyNumberFormat="1" borderId="2" applyBorder="1" fontId="40" applyFont="1" fillId="0" applyAlignment="1">
      <alignment horizontal="center"/>
    </xf>
    <xf xfId="0" numFmtId="3" applyNumberFormat="1" borderId="19" applyBorder="1" fontId="3" applyFont="1" fillId="0" applyAlignment="1">
      <alignment horizontal="center"/>
    </xf>
    <xf xfId="0" numFmtId="165" applyNumberFormat="1" borderId="19" applyBorder="1" fontId="3" applyFont="1" fillId="0" applyAlignment="1">
      <alignment horizontal="center"/>
    </xf>
    <xf xfId="0" numFmtId="3" applyNumberFormat="1" borderId="6" applyBorder="1" fontId="7" applyFont="1" fillId="4" applyFill="1" applyAlignment="1">
      <alignment horizontal="center"/>
    </xf>
    <xf xfId="0" numFmtId="165" applyNumberFormat="1" borderId="6" applyBorder="1" fontId="7" applyFont="1" fillId="4" applyFill="1" applyAlignment="1">
      <alignment horizontal="center"/>
    </xf>
    <xf xfId="0" numFmtId="165" applyNumberFormat="1" borderId="6" applyBorder="1" fontId="40" applyFont="1" fillId="4" applyFill="1" applyAlignment="1">
      <alignment horizontal="center"/>
    </xf>
    <xf xfId="0" numFmtId="3" applyNumberFormat="1" borderId="5" applyBorder="1" fontId="41" applyFont="1" fillId="0" applyAlignment="1">
      <alignment horizontal="right"/>
    </xf>
    <xf xfId="0" numFmtId="165" applyNumberFormat="1" borderId="6" applyBorder="1" fontId="3" applyFont="1" fillId="4" applyFill="1" applyAlignment="1">
      <alignment horizontal="center"/>
    </xf>
    <xf xfId="0" numFmtId="165" applyNumberFormat="1" borderId="6" applyBorder="1" fontId="2" applyFont="1" fillId="4" applyFill="1" applyAlignment="1">
      <alignment horizontal="left"/>
    </xf>
    <xf xfId="0" numFmtId="3" applyNumberFormat="1" borderId="6" applyBorder="1" fontId="38" applyFont="1" fillId="4" applyFill="1" applyAlignment="1">
      <alignment horizontal="right"/>
    </xf>
    <xf xfId="0" numFmtId="3" applyNumberFormat="1" borderId="6" applyBorder="1" fontId="41" applyFont="1" fillId="4" applyFill="1" applyAlignment="1">
      <alignment horizontal="right"/>
    </xf>
    <xf xfId="0" numFmtId="165" applyNumberFormat="1" borderId="6" applyBorder="1" fontId="1" applyFont="1" fillId="7" applyFill="1" applyAlignment="1">
      <alignment horizontal="center"/>
    </xf>
    <xf xfId="0" numFmtId="1" applyNumberFormat="1" borderId="6" applyBorder="1" fontId="3" applyFont="1" fillId="11" applyFill="1" applyAlignment="1">
      <alignment horizontal="center"/>
    </xf>
    <xf xfId="0" numFmtId="164" applyNumberFormat="1" borderId="16" applyBorder="1" fontId="2" applyFont="1" fillId="4" applyFill="1" applyAlignment="1">
      <alignment horizontal="right"/>
    </xf>
    <xf xfId="0" numFmtId="3" applyNumberFormat="1" borderId="2" applyBorder="1" fontId="42" applyFont="1" fillId="0" applyAlignment="1">
      <alignment horizontal="left"/>
    </xf>
    <xf xfId="0" numFmtId="3" applyNumberFormat="1" borderId="6" applyBorder="1" fontId="43" applyFont="1" fillId="4" applyFill="1" applyAlignment="1">
      <alignment horizontal="center"/>
    </xf>
    <xf xfId="0" numFmtId="3" applyNumberFormat="1" borderId="6" applyBorder="1" fontId="43" applyFont="1" fillId="4" applyFill="1" applyAlignment="1">
      <alignment horizontal="right"/>
    </xf>
    <xf xfId="0" numFmtId="3" applyNumberFormat="1" borderId="20" applyBorder="1" fontId="3" applyFont="1" fillId="4" applyFill="1" applyAlignment="1">
      <alignment horizontal="center"/>
    </xf>
    <xf xfId="0" numFmtId="165" applyNumberFormat="1" borderId="20" applyBorder="1" fontId="3" applyFont="1" fillId="4" applyFill="1" applyAlignment="1">
      <alignment horizontal="center"/>
    </xf>
    <xf xfId="0" numFmtId="3" applyNumberFormat="1" borderId="2" applyBorder="1" fontId="8" applyFont="1" fillId="0" applyAlignment="1">
      <alignment horizontal="left" vertical="top" wrapText="1"/>
    </xf>
    <xf xfId="0" numFmtId="3" applyNumberFormat="1" borderId="2" applyBorder="1" fontId="8" applyFont="1" fillId="0" applyAlignment="1">
      <alignment horizontal="right" wrapText="1"/>
    </xf>
    <xf xfId="0" numFmtId="3" applyNumberFormat="1" borderId="11" applyBorder="1" fontId="3" applyFont="1" fillId="4" applyFill="1" applyAlignment="1">
      <alignment horizontal="left"/>
    </xf>
    <xf xfId="0" numFmtId="165" applyNumberFormat="1" borderId="11" applyBorder="1" fontId="2" applyFont="1" fillId="4" applyFill="1" applyAlignment="1">
      <alignment horizontal="left"/>
    </xf>
    <xf xfId="0" numFmtId="3" applyNumberFormat="1" borderId="6" applyBorder="1" fontId="44" applyFont="1" fillId="4" applyFill="1" applyAlignment="1">
      <alignment horizontal="right"/>
    </xf>
    <xf xfId="0" numFmtId="165" applyNumberFormat="1" borderId="5" applyBorder="1" fontId="16" applyFont="1" fillId="0" applyAlignment="1">
      <alignment horizontal="right"/>
    </xf>
    <xf xfId="0" numFmtId="165" applyNumberFormat="1" borderId="6" applyBorder="1" fontId="13" applyFont="1" fillId="4" applyFill="1" applyAlignment="1">
      <alignment horizontal="right"/>
    </xf>
    <xf xfId="0" numFmtId="3" applyNumberFormat="1" borderId="3" applyBorder="1" fontId="2" applyFont="1" fillId="11" applyFill="1" applyAlignment="1">
      <alignment horizontal="right"/>
    </xf>
    <xf xfId="0" numFmtId="172" applyNumberFormat="1" borderId="5" applyBorder="1" fontId="16" applyFont="1" fillId="0" applyAlignment="1">
      <alignment horizontal="right"/>
    </xf>
    <xf xfId="0" numFmtId="3" applyNumberFormat="1" borderId="3" applyBorder="1" fontId="45" applyFont="1" fillId="11" applyFill="1" applyAlignment="1">
      <alignment horizontal="left" vertical="top" wrapText="1"/>
    </xf>
    <xf xfId="0" numFmtId="3" applyNumberFormat="1" borderId="3" applyBorder="1" fontId="45" applyFont="1" fillId="11" applyFill="1" applyAlignment="1">
      <alignment horizontal="right" wrapText="1"/>
    </xf>
    <xf xfId="0" numFmtId="3" applyNumberFormat="1" borderId="6" applyBorder="1" fontId="40" applyFont="1" fillId="4" applyFill="1" applyAlignment="1">
      <alignment horizontal="center"/>
    </xf>
    <xf xfId="0" numFmtId="3" applyNumberFormat="1" borderId="10" applyBorder="1" fontId="3" applyFont="1" fillId="4" applyFill="1" applyAlignment="1">
      <alignment horizontal="left"/>
    </xf>
    <xf xfId="0" numFmtId="165" applyNumberFormat="1" borderId="10" applyBorder="1" fontId="2" applyFont="1" fillId="4" applyFill="1" applyAlignment="1">
      <alignment horizontal="left"/>
    </xf>
    <xf xfId="0" numFmtId="3" applyNumberFormat="1" borderId="10" applyBorder="1" fontId="5" applyFont="1" fillId="4" applyFill="1" applyAlignment="1">
      <alignment horizontal="right"/>
    </xf>
    <xf xfId="0" numFmtId="3" applyNumberFormat="1" borderId="21" applyBorder="1" fontId="41" applyFont="1" fillId="4" applyFill="1" applyAlignment="1">
      <alignment horizontal="left"/>
    </xf>
    <xf xfId="0" numFmtId="165" applyNumberFormat="1" borderId="21" applyBorder="1" fontId="41" applyFont="1" fillId="4" applyFill="1" applyAlignment="1">
      <alignment horizontal="right"/>
    </xf>
    <xf xfId="0" numFmtId="3" applyNumberFormat="1" borderId="21" applyBorder="1" fontId="41" applyFont="1" fillId="4" applyFill="1" applyAlignment="1">
      <alignment horizontal="right"/>
    </xf>
    <xf xfId="0" numFmtId="3" applyNumberFormat="1" borderId="21" applyBorder="1" fontId="2" applyFont="1" fillId="4" applyFill="1" applyAlignment="1">
      <alignment horizontal="left"/>
    </xf>
    <xf xfId="0" numFmtId="165" applyNumberFormat="1" borderId="21" applyBorder="1" fontId="2" applyFont="1" fillId="4" applyFill="1" applyAlignment="1">
      <alignment horizontal="right"/>
    </xf>
    <xf xfId="0" numFmtId="3" applyNumberFormat="1" borderId="21" applyBorder="1" fontId="2" applyFont="1" fillId="18" applyFill="1" applyAlignment="1">
      <alignment horizontal="right"/>
    </xf>
    <xf xfId="0" numFmtId="3" applyNumberFormat="1" borderId="21" applyBorder="1" fontId="2" applyFont="1" fillId="19" applyFill="1" applyAlignment="1">
      <alignment horizontal="right"/>
    </xf>
    <xf xfId="0" numFmtId="3" applyNumberFormat="1" borderId="21" applyBorder="1" fontId="2" applyFont="1" fillId="4" applyFill="1" applyAlignment="1">
      <alignment horizontal="right"/>
    </xf>
    <xf xfId="0" numFmtId="3" applyNumberFormat="1" borderId="21" applyBorder="1" fontId="3" applyFont="1" fillId="4" applyFill="1" applyAlignment="1">
      <alignment horizontal="left"/>
    </xf>
    <xf xfId="0" numFmtId="3" applyNumberFormat="1" borderId="21" applyBorder="1" fontId="3" applyFont="1" fillId="4" applyFill="1" applyAlignment="1">
      <alignment horizontal="right"/>
    </xf>
    <xf xfId="0" numFmtId="165" applyNumberFormat="1" borderId="21" applyBorder="1" fontId="2" applyFont="1" fillId="4" applyFill="1" applyAlignment="1">
      <alignment horizontal="left"/>
    </xf>
    <xf xfId="0" numFmtId="3" applyNumberFormat="1" borderId="21" applyBorder="1" fontId="5" applyFont="1" fillId="4" applyFill="1" applyAlignment="1">
      <alignment horizontal="right"/>
    </xf>
    <xf xfId="0" numFmtId="3" applyNumberFormat="1" borderId="21" applyBorder="1" fontId="41" applyFont="1" fillId="11" applyFill="1" applyAlignment="1">
      <alignment horizontal="left"/>
    </xf>
    <xf xfId="0" numFmtId="3" applyNumberFormat="1" borderId="21" applyBorder="1" fontId="2" applyFont="1" fillId="11" applyFill="1" applyAlignment="1">
      <alignment horizontal="right"/>
    </xf>
    <xf xfId="0" numFmtId="3" applyNumberFormat="1" borderId="3" applyBorder="1" fontId="3" applyFont="1" fillId="4" applyFill="1" applyAlignment="1">
      <alignment horizontal="left"/>
    </xf>
    <xf xfId="0" numFmtId="3" applyNumberFormat="1" borderId="0" fontId="0" fillId="0" applyAlignment="1">
      <alignment horizontal="left"/>
    </xf>
    <xf xfId="0" numFmtId="165" applyNumberFormat="1" borderId="0" fontId="0" fillId="0" applyAlignment="1">
      <alignment horizontal="left"/>
    </xf>
    <xf xfId="0" numFmtId="4" applyNumberFormat="1" borderId="3" applyBorder="1" fontId="9" applyFont="1" fillId="2" applyFill="1" applyAlignment="1">
      <alignment horizontal="left"/>
    </xf>
    <xf xfId="0" numFmtId="4" applyNumberFormat="1" borderId="3" applyBorder="1" fontId="10" applyFont="1" fillId="2" applyFill="1" applyAlignment="1">
      <alignment horizontal="right"/>
    </xf>
    <xf xfId="0" numFmtId="1" applyNumberFormat="1" borderId="6" applyBorder="1" fontId="2" applyFont="1" fillId="4" applyFill="1" applyAlignment="1">
      <alignment horizontal="center"/>
    </xf>
    <xf xfId="0" numFmtId="4" applyNumberFormat="1" borderId="6" applyBorder="1" fontId="2" applyFont="1" fillId="4" applyFill="1" applyAlignment="1">
      <alignment horizontal="left"/>
    </xf>
    <xf xfId="0" numFmtId="3" applyNumberFormat="1" borderId="5" applyBorder="1" fontId="38" applyFont="1" fillId="0" applyAlignment="1">
      <alignment horizontal="right"/>
    </xf>
    <xf xfId="0" numFmtId="3" applyNumberFormat="1" borderId="6" applyBorder="1" fontId="2" applyFont="1" fillId="4" applyFill="1" applyAlignment="1">
      <alignment horizontal="center"/>
    </xf>
    <xf xfId="0" numFmtId="3" applyNumberFormat="1" borderId="19" applyBorder="1" fontId="2" applyFont="1" fillId="0" applyAlignment="1">
      <alignment horizontal="center"/>
    </xf>
    <xf xfId="0" numFmtId="3" applyNumberFormat="1" borderId="19" applyBorder="1" fontId="2" applyFont="1" fillId="0" applyAlignment="1">
      <alignment horizontal="right"/>
    </xf>
    <xf xfId="0" numFmtId="0" borderId="19" applyBorder="1" fontId="3" applyFont="1" fillId="0" applyAlignment="1">
      <alignment horizontal="left"/>
    </xf>
    <xf xfId="0" numFmtId="0" borderId="19" applyBorder="1" fontId="2" applyFont="1" fillId="0" applyAlignment="1">
      <alignment horizontal="left"/>
    </xf>
    <xf xfId="0" numFmtId="0" borderId="22" applyBorder="1" fontId="3" applyFont="1" fillId="3" applyFill="1" applyAlignment="1">
      <alignment horizontal="left"/>
    </xf>
    <xf xfId="0" numFmtId="0" borderId="22" applyBorder="1" fontId="2" applyFont="1" fillId="3" applyFill="1" applyAlignment="1">
      <alignment horizontal="left"/>
    </xf>
    <xf xfId="0" numFmtId="3" applyNumberFormat="1" borderId="22" applyBorder="1" fontId="3" applyFont="1" fillId="3" applyFill="1" applyAlignment="1">
      <alignment horizontal="right"/>
    </xf>
    <xf xfId="0" numFmtId="4" applyNumberFormat="1" borderId="22" applyBorder="1" fontId="2" applyFont="1" fillId="3" applyFill="1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5" applyNumberFormat="1" borderId="4" applyBorder="1" fontId="37" applyFont="1" fillId="0" applyAlignment="1">
      <alignment horizontal="center"/>
    </xf>
    <xf xfId="0" numFmtId="0" borderId="2" applyBorder="1" fontId="40" applyFont="1" fillId="0" applyAlignment="1">
      <alignment horizontal="center"/>
    </xf>
    <xf xfId="0" numFmtId="3" applyNumberFormat="1" borderId="18" applyBorder="1" fontId="16" applyFont="1" fillId="0" applyAlignment="1">
      <alignment horizontal="center"/>
    </xf>
    <xf xfId="0" numFmtId="164" applyNumberFormat="1" borderId="6" applyBorder="1" fontId="38" applyFont="1" fillId="4" applyFill="1" applyAlignment="1">
      <alignment horizontal="center"/>
    </xf>
    <xf xfId="0" numFmtId="3" applyNumberFormat="1" borderId="6" applyBorder="1" fontId="2" applyFont="1" fillId="11" applyFill="1" applyAlignment="1">
      <alignment horizontal="left"/>
    </xf>
    <xf xfId="0" numFmtId="0" borderId="6" applyBorder="1" fontId="3" applyFont="1" fillId="11" applyFill="1" applyAlignment="1">
      <alignment horizontal="left"/>
    </xf>
    <xf xfId="0" numFmtId="165" applyNumberFormat="1" borderId="6" applyBorder="1" fontId="2" applyFont="1" fillId="11" applyFill="1" applyAlignment="1">
      <alignment horizontal="left"/>
    </xf>
    <xf xfId="0" numFmtId="3" applyNumberFormat="1" borderId="2" applyBorder="1" fontId="46" applyFont="1" fillId="0" applyAlignment="1">
      <alignment horizontal="right"/>
    </xf>
    <xf xfId="0" numFmtId="3" applyNumberFormat="1" borderId="6" applyBorder="1" fontId="20" applyFont="1" fillId="4" applyFill="1" applyAlignment="1">
      <alignment horizontal="center"/>
    </xf>
    <xf xfId="0" numFmtId="0" borderId="6" applyBorder="1" fontId="20" applyFont="1" fillId="4" applyFill="1" applyAlignment="1">
      <alignment horizontal="center"/>
    </xf>
    <xf xfId="0" numFmtId="165" applyNumberFormat="1" borderId="6" applyBorder="1" fontId="20" applyFont="1" fillId="4" applyFill="1" applyAlignment="1">
      <alignment horizontal="center"/>
    </xf>
    <xf xfId="0" numFmtId="3" applyNumberFormat="1" borderId="5" applyBorder="1" fontId="2" applyFont="1" fillId="0" applyAlignment="1">
      <alignment horizontal="left"/>
    </xf>
    <xf xfId="0" numFmtId="165" applyNumberFormat="1" borderId="5" applyBorder="1" fontId="2" applyFont="1" fillId="0" applyAlignment="1">
      <alignment horizontal="left"/>
    </xf>
    <xf xfId="0" numFmtId="3" applyNumberFormat="1" borderId="18" applyBorder="1" fontId="2" applyFont="1" fillId="0" applyAlignment="1">
      <alignment horizontal="left"/>
    </xf>
    <xf xfId="0" numFmtId="0" borderId="18" applyBorder="1" fontId="3" applyFont="1" fillId="0" applyAlignment="1">
      <alignment horizontal="left"/>
    </xf>
    <xf xfId="0" numFmtId="165" applyNumberFormat="1" borderId="18" applyBorder="1" fontId="2" applyFont="1" fillId="0" applyAlignment="1">
      <alignment horizontal="left"/>
    </xf>
    <xf xfId="0" numFmtId="3" applyNumberFormat="1" borderId="18" applyBorder="1" fontId="2" applyFont="1" fillId="0" applyAlignment="1">
      <alignment horizontal="center"/>
    </xf>
    <xf xfId="0" numFmtId="165" applyNumberFormat="1" borderId="16" applyBorder="1" fontId="3" applyFont="1" fillId="4" applyFill="1" applyAlignment="1">
      <alignment horizontal="center"/>
    </xf>
    <xf xfId="0" numFmtId="3" applyNumberFormat="1" borderId="11" applyBorder="1" fontId="2" applyFont="1" fillId="5" applyFill="1" applyAlignment="1">
      <alignment horizontal="left"/>
    </xf>
    <xf xfId="0" numFmtId="0" borderId="11" applyBorder="1" fontId="3" applyFont="1" fillId="5" applyFill="1" applyAlignment="1">
      <alignment horizontal="left"/>
    </xf>
    <xf xfId="0" numFmtId="165" applyNumberFormat="1" borderId="11" applyBorder="1" fontId="2" applyFont="1" fillId="5" applyFill="1" applyAlignment="1">
      <alignment horizontal="left"/>
    </xf>
    <xf xfId="0" numFmtId="3" applyNumberFormat="1" borderId="5" applyBorder="1" fontId="38" applyFont="1" fillId="0" applyAlignment="1">
      <alignment horizontal="center"/>
    </xf>
    <xf xfId="0" numFmtId="3" applyNumberFormat="1" borderId="6" applyBorder="1" fontId="2" applyFont="1" fillId="5" applyFill="1" applyAlignment="1">
      <alignment horizontal="left"/>
    </xf>
    <xf xfId="0" numFmtId="0" borderId="6" applyBorder="1" fontId="3" applyFont="1" fillId="5" applyFill="1" applyAlignment="1">
      <alignment horizontal="left"/>
    </xf>
    <xf xfId="0" numFmtId="165" applyNumberFormat="1" borderId="6" applyBorder="1" fontId="2" applyFont="1" fillId="5" applyFill="1" applyAlignment="1">
      <alignment horizontal="left"/>
    </xf>
    <xf xfId="0" numFmtId="3" applyNumberFormat="1" borderId="6" applyBorder="1" fontId="2" applyFont="1" fillId="5" applyFill="1" applyAlignment="1">
      <alignment horizontal="right"/>
    </xf>
    <xf xfId="0" numFmtId="0" borderId="10" applyBorder="1" fontId="3" applyFont="1" fillId="5" applyFill="1" applyAlignment="1">
      <alignment horizontal="left"/>
    </xf>
    <xf xfId="0" numFmtId="165" applyNumberFormat="1" borderId="10" applyBorder="1" fontId="2" applyFont="1" fillId="5" applyFill="1" applyAlignment="1">
      <alignment horizontal="left"/>
    </xf>
    <xf xfId="0" numFmtId="0" borderId="10" applyBorder="1" fontId="3" applyFont="1" fillId="4" applyFill="1" applyAlignment="1">
      <alignment horizontal="left"/>
    </xf>
    <xf xfId="0" numFmtId="3" applyNumberFormat="1" borderId="2" applyBorder="1" fontId="38" applyFont="1" fillId="0" applyAlignment="1">
      <alignment horizontal="right"/>
    </xf>
    <xf xfId="0" numFmtId="165" applyNumberFormat="1" borderId="6" applyBorder="1" fontId="2" applyFont="1" fillId="4" applyFill="1" applyAlignment="1">
      <alignment horizontal="center"/>
    </xf>
    <xf xfId="0" numFmtId="4" applyNumberFormat="1" borderId="5" applyBorder="1" fontId="38" applyFont="1" fillId="0" applyAlignment="1">
      <alignment horizontal="center"/>
    </xf>
    <xf xfId="0" numFmtId="4" applyNumberFormat="1" borderId="6" applyBorder="1" fontId="38" applyFont="1" fillId="5" applyFill="1" applyAlignment="1">
      <alignment horizontal="center"/>
    </xf>
    <xf xfId="0" numFmtId="164" applyNumberFormat="1" borderId="5" applyBorder="1" fontId="38" applyFont="1" fillId="0" applyAlignment="1">
      <alignment horizontal="center"/>
    </xf>
    <xf xfId="0" numFmtId="164" applyNumberFormat="1" borderId="3" applyBorder="1" fontId="2" applyFont="1" fillId="4" applyFill="1" applyAlignment="1">
      <alignment horizontal="left"/>
    </xf>
    <xf xfId="0" numFmtId="164" applyNumberFormat="1" borderId="6" applyBorder="1" fontId="2" applyFont="1" fillId="4" applyFill="1" applyAlignment="1">
      <alignment horizontal="left"/>
    </xf>
    <xf xfId="0" numFmtId="165" applyNumberFormat="1" borderId="6" applyBorder="1" fontId="3" applyFont="1" fillId="14" applyFill="1" applyAlignment="1">
      <alignment horizontal="center"/>
    </xf>
    <xf xfId="0" numFmtId="164" applyNumberFormat="1" borderId="10" applyBorder="1" fontId="2" applyFont="1" fillId="4" applyFill="1" applyAlignment="1">
      <alignment horizontal="left"/>
    </xf>
    <xf xfId="0" numFmtId="164" applyNumberFormat="1" borderId="3" applyBorder="1" fontId="2" applyFont="1" fillId="3" applyFill="1" applyAlignment="1">
      <alignment horizontal="left"/>
    </xf>
    <xf xfId="0" numFmtId="170" applyNumberFormat="1" borderId="2" applyBorder="1" fontId="2" applyFont="1" fillId="0" applyAlignment="1">
      <alignment horizontal="left"/>
    </xf>
    <xf xfId="0" numFmtId="0" borderId="2" applyBorder="1" fontId="5" applyFont="1" fillId="0" applyAlignment="1">
      <alignment horizontal="left"/>
    </xf>
    <xf xfId="0" numFmtId="170" applyNumberFormat="1" borderId="2" applyBorder="1" fontId="4" applyFont="1" fillId="0" applyAlignment="1">
      <alignment horizontal="left"/>
    </xf>
    <xf xfId="0" numFmtId="170" applyNumberFormat="1" borderId="4" applyBorder="1" fontId="6" applyFont="1" fillId="0" applyAlignment="1">
      <alignment horizontal="center"/>
    </xf>
    <xf xfId="0" numFmtId="170" applyNumberFormat="1" borderId="6" applyBorder="1" fontId="3" applyFont="1" fillId="4" applyFill="1" applyAlignment="1">
      <alignment horizontal="center"/>
    </xf>
    <xf xfId="0" numFmtId="170" applyNumberFormat="1" borderId="6" applyBorder="1" fontId="3" applyFont="1" fillId="4" applyFill="1" applyAlignment="1">
      <alignment horizontal="left"/>
    </xf>
    <xf xfId="0" numFmtId="3" applyNumberFormat="1" borderId="10" applyBorder="1" fontId="16" applyFont="1" fillId="7" applyFill="1" applyAlignment="1">
      <alignment horizontal="center"/>
    </xf>
    <xf xfId="0" numFmtId="3" applyNumberFormat="1" borderId="10" applyBorder="1" fontId="38" applyFont="1" fillId="7" applyFill="1" applyAlignment="1">
      <alignment horizontal="center"/>
    </xf>
    <xf xfId="0" numFmtId="165" applyNumberFormat="1" borderId="6" applyBorder="1" fontId="16" applyFont="1" fillId="7" applyFill="1" applyAlignment="1">
      <alignment horizontal="center"/>
    </xf>
    <xf xfId="0" numFmtId="170" applyNumberFormat="1" borderId="5" applyBorder="1" fontId="16" applyFont="1" fillId="0" applyAlignment="1">
      <alignment horizontal="center"/>
    </xf>
    <xf xfId="0" numFmtId="170" applyNumberFormat="1" borderId="6" applyBorder="1" fontId="16" applyFont="1" fillId="4" applyFill="1" applyAlignment="1">
      <alignment horizontal="right"/>
    </xf>
    <xf xfId="0" numFmtId="170" applyNumberFormat="1" borderId="5" applyBorder="1" fontId="38" applyFont="1" fillId="0" applyAlignment="1">
      <alignment horizontal="right"/>
    </xf>
    <xf xfId="0" numFmtId="4" applyNumberFormat="1" borderId="5" applyBorder="1" fontId="38" applyFont="1" fillId="0" applyAlignment="1">
      <alignment horizontal="right"/>
    </xf>
    <xf xfId="0" numFmtId="4" applyNumberFormat="1" borderId="5" applyBorder="1" fontId="2" applyFont="1" fillId="0" applyAlignment="1">
      <alignment horizontal="right"/>
    </xf>
    <xf xfId="0" numFmtId="170" applyNumberFormat="1" borderId="6" applyBorder="1" fontId="38" applyFont="1" fillId="4" applyFill="1" applyAlignment="1">
      <alignment horizontal="center"/>
    </xf>
    <xf xfId="0" numFmtId="170" applyNumberFormat="1" borderId="6" applyBorder="1" fontId="38" applyFont="1" fillId="4" applyFill="1" applyAlignment="1">
      <alignment horizontal="right"/>
    </xf>
    <xf xfId="0" numFmtId="4" applyNumberFormat="1" borderId="6" applyBorder="1" fontId="38" applyFont="1" fillId="4" applyFill="1" applyAlignment="1">
      <alignment horizontal="center"/>
    </xf>
    <xf xfId="0" numFmtId="170" applyNumberFormat="1" borderId="16" applyBorder="1" fontId="3" applyFont="1" fillId="4" applyFill="1" applyAlignment="1">
      <alignment horizontal="center"/>
    </xf>
    <xf xfId="0" numFmtId="4" applyNumberFormat="1" borderId="16" applyBorder="1" fontId="3" applyFont="1" fillId="4" applyFill="1" applyAlignment="1">
      <alignment horizontal="right"/>
    </xf>
    <xf xfId="0" numFmtId="170" applyNumberFormat="1" borderId="16" applyBorder="1" fontId="3" applyFont="1" fillId="4" applyFill="1" applyAlignment="1">
      <alignment horizontal="left"/>
    </xf>
    <xf xfId="0" numFmtId="4" applyNumberFormat="1" borderId="16" applyBorder="1" fontId="2" applyFont="1" fillId="4" applyFill="1" applyAlignment="1">
      <alignment horizontal="right"/>
    </xf>
    <xf xfId="0" numFmtId="170" applyNumberFormat="1" borderId="0" fontId="0" fillId="0" applyAlignment="1">
      <alignment horizontal="general"/>
    </xf>
    <xf xfId="0" numFmtId="170" applyNumberFormat="1" borderId="0" fontId="0" fillId="0" applyAlignment="1">
      <alignment horizontal="general"/>
    </xf>
    <xf xfId="0" numFmtId="0" borderId="2" applyBorder="1" fontId="47" applyFont="1" fillId="0" applyAlignment="1">
      <alignment horizontal="left"/>
    </xf>
    <xf xfId="0" numFmtId="165" applyNumberFormat="1" borderId="2" applyBorder="1" fontId="47" applyFont="1" fillId="0" applyAlignment="1">
      <alignment horizontal="left"/>
    </xf>
    <xf xfId="0" numFmtId="0" borderId="6" applyBorder="1" fontId="48" applyFont="1" fillId="4" applyFill="1" applyAlignment="1">
      <alignment horizontal="center"/>
    </xf>
    <xf xfId="0" numFmtId="165" applyNumberFormat="1" borderId="6" applyBorder="1" fontId="3" applyFont="1" fillId="4" applyFill="1" applyAlignment="1">
      <alignment horizontal="center" wrapText="1"/>
    </xf>
    <xf xfId="0" numFmtId="165" applyNumberFormat="1" borderId="6" applyBorder="1" fontId="3" applyFont="1" fillId="4" applyFill="1" applyAlignment="1">
      <alignment horizontal="right" wrapText="1"/>
    </xf>
    <xf xfId="0" numFmtId="165" applyNumberFormat="1" borderId="5" applyBorder="1" fontId="38" applyFont="1" fillId="0" applyAlignment="1">
      <alignment horizontal="right"/>
    </xf>
    <xf xfId="0" numFmtId="165" applyNumberFormat="1" borderId="6" applyBorder="1" fontId="38" applyFont="1" fillId="4" applyFill="1" applyAlignment="1">
      <alignment horizontal="right"/>
    </xf>
    <xf xfId="0" numFmtId="0" borderId="16" applyBorder="1" fontId="48" applyFont="1" fillId="4" applyFill="1" applyAlignment="1">
      <alignment horizontal="center"/>
    </xf>
    <xf xfId="0" numFmtId="165" applyNumberFormat="1" borderId="16" applyBorder="1" fontId="48" applyFont="1" fillId="4" applyFill="1" applyAlignment="1">
      <alignment horizontal="center"/>
    </xf>
    <xf xfId="0" numFmtId="0" borderId="2" applyBorder="1" fontId="3" applyFont="1" fillId="0" applyAlignment="1">
      <alignment horizontal="center"/>
    </xf>
    <xf xfId="0" numFmtId="165" applyNumberFormat="1" borderId="2" applyBorder="1" fontId="3" applyFont="1" fillId="0" applyAlignment="1">
      <alignment horizontal="center"/>
    </xf>
    <xf xfId="0" numFmtId="165" applyNumberFormat="1" borderId="16" applyBorder="1" fontId="16" applyFont="1" fillId="4" applyFill="1" applyAlignment="1">
      <alignment horizontal="center"/>
    </xf>
    <xf xfId="0" numFmtId="3" applyNumberFormat="1" borderId="16" applyBorder="1" fontId="2" applyFont="1" fillId="4" applyFill="1" applyAlignment="1">
      <alignment horizontal="right"/>
    </xf>
    <xf xfId="0" numFmtId="0" borderId="16" applyBorder="1" fontId="40" applyFont="1" fillId="2" applyFill="1" applyAlignment="1">
      <alignment horizontal="center"/>
    </xf>
    <xf xfId="0" numFmtId="165" applyNumberFormat="1" borderId="16" applyBorder="1" fontId="40" applyFont="1" fillId="2" applyFill="1" applyAlignment="1">
      <alignment horizontal="center"/>
    </xf>
    <xf xfId="0" numFmtId="0" borderId="2" applyBorder="1" fontId="49" applyFont="1" fillId="0" applyAlignment="1">
      <alignment horizontal="left"/>
    </xf>
    <xf xfId="0" numFmtId="0" borderId="2" applyBorder="1" fontId="50" applyFont="1" fillId="0" applyAlignment="1">
      <alignment horizontal="left"/>
    </xf>
    <xf xfId="0" numFmtId="0" borderId="3" applyBorder="1" fontId="50" applyFont="1" fillId="3" applyFill="1" applyAlignment="1">
      <alignment horizontal="left"/>
    </xf>
    <xf xfId="0" numFmtId="165" applyNumberFormat="1" borderId="6" applyBorder="1" fontId="48" applyFont="1" fillId="4" applyFill="1" applyAlignment="1">
      <alignment horizontal="center"/>
    </xf>
    <xf xfId="0" numFmtId="165" applyNumberFormat="1" borderId="5" applyBorder="1" fontId="3" applyFont="1" fillId="0" applyAlignment="1">
      <alignment horizontal="left"/>
    </xf>
    <xf xfId="0" numFmtId="3" applyNumberFormat="1" borderId="6" applyBorder="1" fontId="3" applyFont="1" fillId="11" applyFill="1" applyAlignment="1">
      <alignment horizontal="right"/>
    </xf>
    <xf xfId="0" numFmtId="167" applyNumberFormat="1" borderId="6" applyBorder="1" fontId="2" applyFont="1" fillId="4" applyFill="1" applyAlignment="1">
      <alignment horizontal="right"/>
    </xf>
    <xf xfId="0" numFmtId="3" applyNumberFormat="1" borderId="6" applyBorder="1" fontId="38" applyFont="1" fillId="11" applyFill="1" applyAlignment="1">
      <alignment horizontal="right"/>
    </xf>
    <xf xfId="0" numFmtId="164" applyNumberFormat="1" borderId="6" applyBorder="1" fontId="38" applyFont="1" fillId="11" applyFill="1" applyAlignment="1">
      <alignment horizontal="right"/>
    </xf>
    <xf xfId="0" numFmtId="165" applyNumberFormat="1" borderId="6" applyBorder="1" fontId="38" applyFont="1" fillId="11" applyFill="1" applyAlignment="1">
      <alignment horizontal="right"/>
    </xf>
    <xf xfId="0" numFmtId="4" applyNumberFormat="1" borderId="6" applyBorder="1" fontId="38" applyFont="1" fillId="11" applyFill="1" applyAlignment="1">
      <alignment horizontal="right"/>
    </xf>
    <xf xfId="0" numFmtId="0" borderId="5" applyBorder="1" fontId="3" applyFont="1" fillId="0" applyAlignment="1">
      <alignment horizontal="left"/>
    </xf>
    <xf xfId="0" numFmtId="0" borderId="2" applyBorder="1" fontId="48" applyFont="1" fillId="0" applyAlignment="1">
      <alignment horizontal="left"/>
    </xf>
    <xf xfId="0" numFmtId="167" applyNumberFormat="1" borderId="2" applyBorder="1" fontId="3" applyFont="1" fillId="0" applyAlignment="1">
      <alignment horizontal="right"/>
    </xf>
    <xf xfId="0" numFmtId="167" applyNumberFormat="1" borderId="2" applyBorder="1" fontId="3" applyFont="1" fillId="0" applyAlignment="1">
      <alignment horizontal="left"/>
    </xf>
    <xf xfId="0" numFmtId="167" applyNumberFormat="1" borderId="2" applyBorder="1" fontId="3" applyFont="1" fillId="0" applyAlignment="1">
      <alignment horizontal="center"/>
    </xf>
    <xf xfId="0" numFmtId="0" borderId="6" applyBorder="1" fontId="48" applyFont="1" fillId="4" applyFill="1" applyAlignment="1">
      <alignment horizontal="left"/>
    </xf>
    <xf xfId="0" numFmtId="165" applyNumberFormat="1" borderId="6" applyBorder="1" fontId="48" applyFont="1" fillId="4" applyFill="1" applyAlignment="1">
      <alignment horizontal="left"/>
    </xf>
    <xf xfId="0" numFmtId="0" borderId="16" applyBorder="1" fontId="48" applyFont="1" fillId="4" applyFill="1" applyAlignment="1">
      <alignment horizontal="left"/>
    </xf>
    <xf xfId="0" numFmtId="165" applyNumberFormat="1" borderId="16" applyBorder="1" fontId="49" applyFont="1" fillId="4" applyFill="1" applyAlignment="1">
      <alignment horizontal="center"/>
    </xf>
    <xf xfId="0" numFmtId="164" applyNumberFormat="1" borderId="2" applyBorder="1" fontId="38" applyFont="1" fillId="0" applyAlignment="1">
      <alignment horizontal="center"/>
    </xf>
    <xf xfId="0" numFmtId="165" applyNumberFormat="1" borderId="16" applyBorder="1" fontId="48" applyFont="1" fillId="4" applyFill="1" applyAlignment="1">
      <alignment horizontal="left"/>
    </xf>
    <xf xfId="0" numFmtId="165" applyNumberFormat="1" borderId="23" applyBorder="1" fontId="38" applyFont="1" fillId="0" applyAlignment="1">
      <alignment horizontal="center"/>
    </xf>
    <xf xfId="0" numFmtId="0" borderId="2" applyBorder="1" fontId="9" applyFont="1" fillId="0" applyAlignment="1">
      <alignment horizontal="left"/>
    </xf>
    <xf xfId="0" numFmtId="4" applyNumberFormat="1" borderId="2" applyBorder="1" fontId="51" applyFont="1" fillId="0" applyAlignment="1">
      <alignment horizontal="center"/>
    </xf>
    <xf xfId="0" numFmtId="167" applyNumberFormat="1" borderId="2" applyBorder="1" fontId="51" applyFont="1" fillId="0" applyAlignment="1">
      <alignment horizontal="left"/>
    </xf>
    <xf xfId="0" numFmtId="0" borderId="3" applyBorder="1" fontId="9" applyFont="1" fillId="2" applyFill="1" applyAlignment="1">
      <alignment horizontal="right"/>
    </xf>
    <xf xfId="0" numFmtId="0" borderId="3" applyBorder="1" fontId="10" applyFont="1" fillId="2" applyFill="1" applyAlignment="1">
      <alignment horizontal="right"/>
    </xf>
    <xf xfId="0" numFmtId="167" applyNumberFormat="1" borderId="2" applyBorder="1" fontId="2" applyFont="1" fillId="0" applyAlignment="1">
      <alignment horizontal="left"/>
    </xf>
    <xf xfId="0" numFmtId="167" applyNumberFormat="1" borderId="4" applyBorder="1" fontId="6" applyFont="1" fillId="0" applyAlignment="1">
      <alignment horizontal="center"/>
    </xf>
    <xf xfId="0" numFmtId="167" applyNumberFormat="1" borderId="2" applyBorder="1" fontId="52" applyFont="1" fillId="0" applyAlignment="1">
      <alignment horizontal="left"/>
    </xf>
    <xf xfId="0" numFmtId="0" borderId="2" applyBorder="1" fontId="53" applyFont="1" fillId="0" applyAlignment="1">
      <alignment horizontal="left"/>
    </xf>
    <xf xfId="0" numFmtId="0" borderId="2" applyBorder="1" fontId="54" applyFont="1" fillId="0" applyAlignment="1">
      <alignment horizontal="center"/>
    </xf>
    <xf xfId="0" numFmtId="4" applyNumberFormat="1" borderId="2" applyBorder="1" fontId="54" applyFont="1" fillId="0" applyAlignment="1">
      <alignment horizontal="center"/>
    </xf>
    <xf xfId="0" numFmtId="167" applyNumberFormat="1" borderId="2" applyBorder="1" fontId="54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 wrapText="1"/>
    </xf>
    <xf xfId="0" numFmtId="4" applyNumberFormat="1" borderId="6" applyBorder="1" fontId="16" applyFont="1" fillId="7" applyFill="1" applyAlignment="1">
      <alignment horizontal="center"/>
    </xf>
    <xf xfId="0" numFmtId="3" applyNumberFormat="1" borderId="10" applyBorder="1" fontId="16" applyFont="1" fillId="11" applyFill="1" applyAlignment="1">
      <alignment horizontal="center"/>
    </xf>
    <xf xfId="0" numFmtId="167" applyNumberFormat="1" borderId="2" applyBorder="1" fontId="16" applyFont="1" fillId="0" applyAlignment="1">
      <alignment horizontal="left"/>
    </xf>
    <xf xfId="0" numFmtId="0" borderId="3" applyBorder="1" fontId="49" applyFont="1" fillId="5" applyFill="1" applyAlignment="1">
      <alignment horizontal="left"/>
    </xf>
    <xf xfId="0" numFmtId="4" applyNumberFormat="1" borderId="6" applyBorder="1" fontId="7" applyFont="1" fillId="11" applyFill="1" applyAlignment="1">
      <alignment horizontal="center"/>
    </xf>
    <xf xfId="0" numFmtId="167" applyNumberFormat="1" borderId="2" applyBorder="1" fontId="16" applyFont="1" fillId="0" applyAlignment="1">
      <alignment horizontal="center"/>
    </xf>
    <xf xfId="0" numFmtId="3" applyNumberFormat="1" borderId="11" applyBorder="1" fontId="16" applyFont="1" fillId="11" applyFill="1" applyAlignment="1">
      <alignment horizontal="center"/>
    </xf>
    <xf xfId="0" numFmtId="167" applyNumberFormat="1" borderId="6" applyBorder="1" fontId="16" applyFont="1" fillId="7" applyFill="1" applyAlignment="1">
      <alignment horizontal="center"/>
    </xf>
    <xf xfId="0" numFmtId="0" borderId="3" applyBorder="1" fontId="16" applyFont="1" fillId="7" applyFill="1" applyAlignment="1">
      <alignment horizontal="justify" vertical="top"/>
    </xf>
    <xf xfId="0" numFmtId="3" applyNumberFormat="1" borderId="6" applyBorder="1" fontId="16" applyFont="1" fillId="11" applyFill="1" applyAlignment="1">
      <alignment horizontal="center"/>
    </xf>
    <xf xfId="0" numFmtId="4" applyNumberFormat="1" borderId="3" applyBorder="1" fontId="16" applyFont="1" fillId="7" applyFill="1" applyAlignment="1">
      <alignment horizontal="justify"/>
    </xf>
    <xf xfId="0" numFmtId="165" applyNumberFormat="1" borderId="6" applyBorder="1" fontId="16" applyFont="1" fillId="11" applyFill="1" applyAlignment="1">
      <alignment horizontal="center"/>
    </xf>
    <xf xfId="0" numFmtId="167" applyNumberFormat="1" borderId="3" applyBorder="1" fontId="16" applyFont="1" fillId="7" applyFill="1" applyAlignment="1">
      <alignment horizontal="justify" vertical="top"/>
    </xf>
    <xf xfId="0" numFmtId="164" applyNumberFormat="1" borderId="3" applyBorder="1" fontId="16" applyFont="1" fillId="7" applyFill="1" applyAlignment="1">
      <alignment horizontal="justify"/>
    </xf>
    <xf xfId="0" numFmtId="167" applyNumberFormat="1" borderId="3" applyBorder="1" fontId="16" applyFont="1" fillId="7" applyFill="1" applyAlignment="1">
      <alignment horizontal="left" vertical="top"/>
    </xf>
    <xf xfId="0" numFmtId="164" applyNumberFormat="1" borderId="3" applyBorder="1" fontId="16" applyFont="1" fillId="7" applyFill="1" applyAlignment="1">
      <alignment horizontal="right"/>
    </xf>
    <xf xfId="0" numFmtId="167" applyNumberFormat="1" borderId="6" applyBorder="1" fontId="16" applyFont="1" fillId="7" applyFill="1" applyAlignment="1">
      <alignment horizontal="left"/>
    </xf>
    <xf xfId="0" numFmtId="0" borderId="6" applyBorder="1" fontId="16" applyFont="1" fillId="7" applyFill="1" applyAlignment="1">
      <alignment horizontal="left"/>
    </xf>
    <xf xfId="0" numFmtId="4" applyNumberFormat="1" borderId="6" applyBorder="1" fontId="16" applyFont="1" fillId="11" applyFill="1" applyAlignment="1">
      <alignment horizontal="center"/>
    </xf>
    <xf xfId="0" numFmtId="167" applyNumberFormat="1" borderId="10" applyBorder="1" fontId="16" applyFont="1" fillId="7" applyFill="1" applyAlignment="1">
      <alignment horizontal="justify" vertical="top"/>
    </xf>
    <xf xfId="0" numFmtId="0" borderId="10" applyBorder="1" fontId="16" applyFont="1" fillId="7" applyFill="1" applyAlignment="1">
      <alignment horizontal="justify"/>
    </xf>
    <xf xfId="0" numFmtId="0" borderId="3" applyBorder="1" fontId="2" applyFont="1" fillId="7" applyFill="1" applyAlignment="1">
      <alignment horizontal="left"/>
    </xf>
    <xf xfId="0" numFmtId="4" applyNumberFormat="1" borderId="3" applyBorder="1" fontId="2" applyFont="1" fillId="7" applyFill="1" applyAlignment="1">
      <alignment horizontal="center"/>
    </xf>
    <xf xfId="0" numFmtId="167" applyNumberFormat="1" borderId="3" applyBorder="1" fontId="16" applyFont="1" fillId="7" applyFill="1" applyAlignment="1">
      <alignment horizontal="justify"/>
    </xf>
    <xf xfId="0" numFmtId="0" borderId="3" applyBorder="1" fontId="16" applyFont="1" fillId="7" applyFill="1" applyAlignment="1">
      <alignment horizontal="justify"/>
    </xf>
    <xf xfId="0" numFmtId="167" applyNumberFormat="1" borderId="11" applyBorder="1" fontId="16" applyFont="1" fillId="7" applyFill="1" applyAlignment="1">
      <alignment horizontal="justify"/>
    </xf>
    <xf xfId="0" numFmtId="0" borderId="11" applyBorder="1" fontId="16" applyFont="1" fillId="7" applyFill="1" applyAlignment="1">
      <alignment horizontal="justify"/>
    </xf>
    <xf xfId="0" numFmtId="167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6" applyBorder="1" fontId="19" applyFont="1" fillId="4" applyFill="1" applyAlignment="1">
      <alignment horizontal="left"/>
    </xf>
    <xf xfId="0" numFmtId="4" applyNumberFormat="1" borderId="3" applyBorder="1" fontId="11" applyFont="1" fillId="18" applyFill="1" applyAlignment="1">
      <alignment horizontal="center"/>
    </xf>
    <xf xfId="0" numFmtId="167" applyNumberFormat="1" borderId="3" applyBorder="1" fontId="11" applyFont="1" fillId="18" applyFill="1" applyAlignment="1">
      <alignment horizontal="center"/>
    </xf>
    <xf xfId="0" numFmtId="0" borderId="3" applyBorder="1" fontId="11" applyFont="1" fillId="18" applyFill="1" applyAlignment="1">
      <alignment horizontal="center"/>
    </xf>
    <xf xfId="0" numFmtId="0" borderId="3" applyBorder="1" fontId="55" applyFont="1" fillId="20" applyFill="1" applyAlignment="1">
      <alignment horizontal="justify" wrapText="1"/>
    </xf>
    <xf xfId="0" numFmtId="4" applyNumberFormat="1" borderId="3" applyBorder="1" fontId="55" applyFont="1" fillId="20" applyFill="1" applyAlignment="1">
      <alignment horizontal="justify" wrapText="1"/>
    </xf>
    <xf xfId="0" numFmtId="167" applyNumberFormat="1" borderId="3" applyBorder="1" fontId="55" applyFont="1" fillId="20" applyFill="1" applyAlignment="1">
      <alignment horizontal="justify" wrapText="1"/>
    </xf>
    <xf xfId="0" numFmtId="4" applyNumberFormat="1" borderId="3" applyBorder="1" fontId="2" applyFont="1" fillId="3" applyFill="1" applyAlignment="1">
      <alignment horizontal="center"/>
    </xf>
    <xf xfId="0" numFmtId="167" applyNumberFormat="1" borderId="3" applyBorder="1" fontId="2" applyFont="1" fillId="3" applyFill="1" applyAlignment="1">
      <alignment horizontal="left"/>
    </xf>
    <xf xfId="0" numFmtId="165" applyNumberFormat="1" borderId="3" applyBorder="1" fontId="2" applyFont="1" fillId="3" applyFill="1" applyAlignment="1">
      <alignment horizontal="right"/>
    </xf>
    <xf xfId="0" numFmtId="164" applyNumberFormat="1" borderId="3" applyBorder="1" fontId="2" applyFont="1" fillId="3" applyFill="1" applyAlignment="1">
      <alignment horizontal="right"/>
    </xf>
    <xf xfId="0" numFmtId="4" applyNumberFormat="1" borderId="0" fontId="0" fillId="0" applyAlignment="1">
      <alignment horizontal="center"/>
    </xf>
    <xf xfId="0" numFmtId="167" applyNumberFormat="1" borderId="0" fontId="0" fillId="0" applyAlignment="1">
      <alignment horizontal="general"/>
    </xf>
    <xf xfId="0" numFmtId="0" borderId="2" applyBorder="1" fontId="56" applyFont="1" fillId="0" applyAlignment="1">
      <alignment horizontal="right" vertical="top" wrapText="1"/>
    </xf>
    <xf xfId="0" numFmtId="0" borderId="2" applyBorder="1" fontId="57" applyFont="1" fillId="0" applyAlignment="1">
      <alignment horizontal="right" wrapText="1"/>
    </xf>
    <xf xfId="0" numFmtId="3" applyNumberFormat="1" borderId="4" applyBorder="1" fontId="58" applyFont="1" fillId="0" applyAlignment="1">
      <alignment horizontal="center"/>
    </xf>
    <xf xfId="0" numFmtId="0" borderId="4" applyBorder="1" fontId="58" applyFont="1" fillId="0" applyAlignment="1">
      <alignment horizontal="center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2" applyBorder="1" fontId="59" applyFont="1" fillId="0" applyAlignment="1">
      <alignment horizontal="center" vertical="top" wrapText="1"/>
    </xf>
    <xf xfId="0" numFmtId="0" borderId="2" applyBorder="1" fontId="59" applyFont="1" fillId="0" applyAlignment="1">
      <alignment horizontal="center" wrapText="1"/>
    </xf>
    <xf xfId="0" numFmtId="3" applyNumberFormat="1" borderId="2" applyBorder="1" fontId="59" applyFont="1" fillId="0" applyAlignment="1">
      <alignment horizontal="center" wrapText="1"/>
    </xf>
    <xf xfId="0" numFmtId="3" applyNumberFormat="1" borderId="2" applyBorder="1" fontId="60" applyFont="1" fillId="0" applyAlignment="1">
      <alignment horizontal="left"/>
    </xf>
    <xf xfId="0" numFmtId="3" applyNumberFormat="1" borderId="2" applyBorder="1" fontId="61" applyFont="1" fillId="0" applyAlignment="1">
      <alignment horizontal="left"/>
    </xf>
    <xf xfId="0" numFmtId="0" borderId="2" applyBorder="1" fontId="61" applyFont="1" fillId="0" applyAlignment="1">
      <alignment horizontal="left"/>
    </xf>
    <xf xfId="0" numFmtId="3" applyNumberFormat="1" borderId="2" applyBorder="1" fontId="61" applyFont="1" fillId="0" applyAlignment="1">
      <alignment horizontal="left" wrapText="1"/>
    </xf>
    <xf xfId="0" numFmtId="0" borderId="2" applyBorder="1" fontId="61" applyFont="1" fillId="0" applyAlignment="1">
      <alignment horizontal="left" wrapText="1"/>
    </xf>
    <xf xfId="0" numFmtId="3" applyNumberFormat="1" borderId="6" applyBorder="1" fontId="4" applyFont="1" fillId="2" applyFill="1" applyAlignment="1">
      <alignment horizontal="center"/>
    </xf>
    <xf xfId="0" numFmtId="0" borderId="2" applyBorder="1" fontId="62" applyFont="1" fillId="0" applyAlignment="1">
      <alignment horizontal="left" wrapText="1"/>
    </xf>
    <xf xfId="0" numFmtId="3" applyNumberFormat="1" borderId="2" applyBorder="1" fontId="62" applyFont="1" fillId="0" applyAlignment="1">
      <alignment horizontal="left"/>
    </xf>
    <xf xfId="0" numFmtId="0" borderId="2" applyBorder="1" fontId="62" applyFont="1" fillId="0" applyAlignment="1">
      <alignment horizontal="left"/>
    </xf>
    <xf xfId="0" numFmtId="3" applyNumberFormat="1" borderId="3" applyBorder="1" fontId="4" applyFont="1" fillId="2" applyFill="1" applyAlignment="1">
      <alignment horizontal="center"/>
    </xf>
    <xf xfId="0" numFmtId="3" applyNumberFormat="1" borderId="0" fontId="0" fillId="0" applyAlignment="1">
      <alignment horizontal="center"/>
    </xf>
    <xf xfId="0" numFmtId="0" borderId="2" applyBorder="1" fontId="63" applyFont="1" fillId="0" applyAlignment="1">
      <alignment horizontal="center" wrapText="1"/>
    </xf>
    <xf xfId="0" numFmtId="0" borderId="3" applyBorder="1" fontId="64" applyFont="1" fillId="11" applyFill="1" applyAlignment="1">
      <alignment horizontal="center"/>
    </xf>
    <xf xfId="0" numFmtId="0" borderId="3" applyBorder="1" fontId="65" applyFont="1" fillId="11" applyFill="1" applyAlignment="1">
      <alignment horizontal="center" wrapText="1"/>
    </xf>
    <xf xfId="0" numFmtId="0" borderId="3" applyBorder="1" fontId="66" applyFont="1" fillId="11" applyFill="1" applyAlignment="1">
      <alignment horizontal="center" wrapText="1"/>
    </xf>
    <xf xfId="0" numFmtId="0" borderId="3" applyBorder="1" fontId="67" applyFont="1" fillId="11" applyFill="1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24"/>
  <sheetViews>
    <sheetView workbookViewId="0" tabSelected="1"/>
  </sheetViews>
  <sheetFormatPr defaultRowHeight="15" x14ac:dyDescent="0.25"/>
  <cols>
    <col min="1" max="1" style="9" width="3.7192857142857143" customWidth="1" bestFit="1"/>
    <col min="2" max="2" style="9" width="112.005" customWidth="1" bestFit="1"/>
  </cols>
  <sheetData>
    <row x14ac:dyDescent="0.25" r="1" customHeight="1" ht="196.5" customFormat="1" s="509">
      <c r="A1" s="510"/>
      <c r="B1" s="525" t="s">
        <v>502</v>
      </c>
    </row>
    <row x14ac:dyDescent="0.25" r="2" customHeight="1" ht="42">
      <c r="A2" s="1"/>
      <c r="B2" s="526" t="s">
        <v>503</v>
      </c>
    </row>
    <row x14ac:dyDescent="0.25" r="3" customHeight="1" ht="252.75" customFormat="1" s="509">
      <c r="A3" s="510"/>
      <c r="B3" s="527" t="s">
        <v>504</v>
      </c>
    </row>
    <row x14ac:dyDescent="0.25" r="4" customHeight="1" ht="24.75" customFormat="1" s="509">
      <c r="A4" s="510"/>
      <c r="B4" s="528" t="s">
        <v>505</v>
      </c>
    </row>
    <row x14ac:dyDescent="0.25" r="5" customHeight="1" ht="35.25" customFormat="1" s="509">
      <c r="A5" s="510"/>
      <c r="B5" s="529" t="s">
        <v>506</v>
      </c>
    </row>
    <row x14ac:dyDescent="0.25" r="6" customHeight="1" ht="409.5">
      <c r="A6" s="1"/>
      <c r="B6" s="1"/>
    </row>
    <row x14ac:dyDescent="0.25" r="7" customHeight="1" ht="409.5">
      <c r="A7" s="1"/>
      <c r="B7" s="1"/>
    </row>
    <row x14ac:dyDescent="0.25" r="8" customHeight="1" ht="409.5">
      <c r="A8" s="1"/>
      <c r="B8" s="1"/>
    </row>
    <row x14ac:dyDescent="0.25" r="9" customHeight="1" ht="409.5">
      <c r="A9" s="1"/>
      <c r="B9" s="1"/>
    </row>
    <row x14ac:dyDescent="0.25" r="10" customHeight="1" ht="409.5">
      <c r="A10" s="1"/>
      <c r="B10" s="1"/>
    </row>
    <row x14ac:dyDescent="0.25" r="11" customHeight="1" ht="409.5">
      <c r="A11" s="1"/>
      <c r="B11" s="1"/>
    </row>
    <row x14ac:dyDescent="0.25" r="12" customHeight="1" ht="409.5">
      <c r="A12" s="1"/>
      <c r="B12" s="1"/>
    </row>
    <row x14ac:dyDescent="0.25" r="13" customHeight="1" ht="409.5">
      <c r="A13" s="1"/>
      <c r="B13" s="1"/>
    </row>
    <row x14ac:dyDescent="0.25" r="14" customHeight="1" ht="409.5">
      <c r="A14" s="1"/>
      <c r="B14" s="1"/>
    </row>
    <row x14ac:dyDescent="0.25" r="15" customHeight="1" ht="409.5">
      <c r="A15" s="1"/>
      <c r="B15" s="1"/>
    </row>
    <row x14ac:dyDescent="0.25" r="16" customHeight="1" ht="409.5">
      <c r="A16" s="1"/>
      <c r="B16" s="1"/>
    </row>
    <row x14ac:dyDescent="0.25" r="17" customHeight="1" ht="409.5">
      <c r="A17" s="1"/>
      <c r="B17" s="1"/>
    </row>
    <row x14ac:dyDescent="0.25" r="18" customHeight="1" ht="409.5">
      <c r="A18" s="1"/>
      <c r="B18" s="1"/>
    </row>
    <row x14ac:dyDescent="0.25" r="19" customHeight="1" ht="409.5">
      <c r="A19" s="1"/>
      <c r="B19" s="1"/>
    </row>
    <row x14ac:dyDescent="0.25" r="20" customHeight="1" ht="409.5">
      <c r="A20" s="1"/>
      <c r="B20" s="1"/>
    </row>
    <row x14ac:dyDescent="0.25" r="21" customHeight="1" ht="409.5">
      <c r="A21" s="1"/>
      <c r="B21" s="1"/>
    </row>
    <row x14ac:dyDescent="0.25" r="22" customHeight="1" ht="409.5">
      <c r="A22" s="1"/>
      <c r="B22" s="1"/>
    </row>
    <row x14ac:dyDescent="0.25" r="23" customHeight="1" ht="409.5">
      <c r="A23" s="1"/>
      <c r="B23" s="1"/>
    </row>
    <row x14ac:dyDescent="0.25" r="24" customHeight="1" ht="409.5">
      <c r="A24" s="1"/>
      <c r="B24" s="1"/>
    </row>
    <row x14ac:dyDescent="0.25" r="25" customHeight="1" ht="409.5">
      <c r="A25" s="1"/>
      <c r="B25" s="1"/>
    </row>
    <row x14ac:dyDescent="0.25" r="26" customHeight="1" ht="409.5">
      <c r="A26" s="1"/>
      <c r="B26" s="1"/>
    </row>
    <row x14ac:dyDescent="0.25" r="27" customHeight="1" ht="409.5">
      <c r="A27" s="1"/>
      <c r="B27" s="1"/>
    </row>
    <row x14ac:dyDescent="0.25" r="28" customHeight="1" ht="409.5">
      <c r="A28" s="1"/>
      <c r="B28" s="1"/>
    </row>
    <row x14ac:dyDescent="0.25" r="29" customHeight="1" ht="409.5">
      <c r="A29" s="1"/>
      <c r="B29" s="1"/>
    </row>
    <row x14ac:dyDescent="0.25" r="30" customHeight="1" ht="409.5">
      <c r="A30" s="1"/>
      <c r="B30" s="1"/>
    </row>
    <row x14ac:dyDescent="0.25" r="31" customHeight="1" ht="409.5">
      <c r="A31" s="1"/>
      <c r="B31" s="1"/>
    </row>
    <row x14ac:dyDescent="0.25" r="32" customHeight="1" ht="409.5">
      <c r="A32" s="1"/>
      <c r="B32" s="1"/>
    </row>
    <row x14ac:dyDescent="0.25" r="33" customHeight="1" ht="409.5">
      <c r="A33" s="1"/>
      <c r="B33" s="1"/>
    </row>
    <row x14ac:dyDescent="0.25" r="34" customHeight="1" ht="409.5">
      <c r="A34" s="1"/>
      <c r="B34" s="1"/>
    </row>
    <row x14ac:dyDescent="0.25" r="35" customHeight="1" ht="409.5">
      <c r="A35" s="1"/>
      <c r="B35" s="1"/>
    </row>
    <row x14ac:dyDescent="0.25" r="36" customHeight="1" ht="409.5">
      <c r="A36" s="1"/>
      <c r="B36" s="1"/>
    </row>
    <row x14ac:dyDescent="0.25" r="37" customHeight="1" ht="409.5">
      <c r="A37" s="1"/>
      <c r="B37" s="1"/>
    </row>
    <row x14ac:dyDescent="0.25" r="38" customHeight="1" ht="409.5">
      <c r="A38" s="1"/>
      <c r="B38" s="1"/>
    </row>
    <row x14ac:dyDescent="0.25" r="39" customHeight="1" ht="409.5">
      <c r="A39" s="1"/>
      <c r="B39" s="1"/>
    </row>
    <row x14ac:dyDescent="0.25" r="40" customHeight="1" ht="409.5">
      <c r="A40" s="1"/>
      <c r="B40" s="1"/>
    </row>
    <row x14ac:dyDescent="0.25" r="41" customHeight="1" ht="409.5">
      <c r="A41" s="1"/>
      <c r="B41" s="1"/>
    </row>
    <row x14ac:dyDescent="0.25" r="42" customHeight="1" ht="409.5">
      <c r="A42" s="1"/>
      <c r="B42" s="1"/>
    </row>
    <row x14ac:dyDescent="0.25" r="43" customHeight="1" ht="409.5">
      <c r="A43" s="1"/>
      <c r="B43" s="1"/>
    </row>
    <row x14ac:dyDescent="0.25" r="44" customHeight="1" ht="409.5">
      <c r="A44" s="1"/>
      <c r="B44" s="1"/>
    </row>
    <row x14ac:dyDescent="0.25" r="45" customHeight="1" ht="409.5">
      <c r="A45" s="1"/>
      <c r="B45" s="1"/>
    </row>
    <row x14ac:dyDescent="0.25" r="46" customHeight="1" ht="409.5">
      <c r="A46" s="1"/>
      <c r="B46" s="1"/>
    </row>
    <row x14ac:dyDescent="0.25" r="47" customHeight="1" ht="409.5">
      <c r="A47" s="1"/>
      <c r="B47" s="1"/>
    </row>
    <row x14ac:dyDescent="0.25" r="48" customHeight="1" ht="409.5">
      <c r="A48" s="1"/>
      <c r="B48" s="1"/>
    </row>
    <row x14ac:dyDescent="0.25" r="49" customHeight="1" ht="409.5">
      <c r="A49" s="1"/>
      <c r="B49" s="1"/>
    </row>
    <row x14ac:dyDescent="0.25" r="50" customHeight="1" ht="409.5">
      <c r="A50" s="1"/>
      <c r="B50" s="1"/>
    </row>
    <row x14ac:dyDescent="0.25" r="51" customHeight="1" ht="409.5">
      <c r="A51" s="1"/>
      <c r="B51" s="1"/>
    </row>
    <row x14ac:dyDescent="0.25" r="52" customHeight="1" ht="409.5">
      <c r="A52" s="1"/>
      <c r="B52" s="1"/>
    </row>
    <row x14ac:dyDescent="0.25" r="53" customHeight="1" ht="409.5">
      <c r="A53" s="1"/>
      <c r="B53" s="1"/>
    </row>
    <row x14ac:dyDescent="0.25" r="54" customHeight="1" ht="409.5">
      <c r="A54" s="1"/>
      <c r="B54" s="1"/>
    </row>
    <row x14ac:dyDescent="0.25" r="55" customHeight="1" ht="409.5">
      <c r="A55" s="1"/>
      <c r="B55" s="1"/>
    </row>
    <row x14ac:dyDescent="0.25" r="56" customHeight="1" ht="409.5">
      <c r="A56" s="1"/>
      <c r="B56" s="1"/>
    </row>
    <row x14ac:dyDescent="0.25" r="57" customHeight="1" ht="409.5">
      <c r="A57" s="1"/>
      <c r="B57" s="1"/>
    </row>
    <row x14ac:dyDescent="0.25" r="58" customHeight="1" ht="409.5">
      <c r="A58" s="1"/>
      <c r="B58" s="1"/>
    </row>
    <row x14ac:dyDescent="0.25" r="59" customHeight="1" ht="409.5">
      <c r="A59" s="1"/>
      <c r="B59" s="1"/>
    </row>
    <row x14ac:dyDescent="0.25" r="60" customHeight="1" ht="409.5">
      <c r="A60" s="1"/>
      <c r="B60" s="1"/>
    </row>
    <row x14ac:dyDescent="0.25" r="61" customHeight="1" ht="409.5">
      <c r="A61" s="1"/>
      <c r="B61" s="1"/>
    </row>
    <row x14ac:dyDescent="0.25" r="62" customHeight="1" ht="409.5">
      <c r="A62" s="1"/>
      <c r="B62" s="1"/>
    </row>
    <row x14ac:dyDescent="0.25" r="63" customHeight="1" ht="409.5">
      <c r="A63" s="1"/>
      <c r="B63" s="1"/>
    </row>
    <row x14ac:dyDescent="0.25" r="64" customHeight="1" ht="409.5">
      <c r="A64" s="1"/>
      <c r="B64" s="1"/>
    </row>
    <row x14ac:dyDescent="0.25" r="65" customHeight="1" ht="409.5">
      <c r="A65" s="1"/>
      <c r="B65" s="1"/>
    </row>
    <row x14ac:dyDescent="0.25" r="66" customHeight="1" ht="409.5">
      <c r="A66" s="1"/>
      <c r="B66" s="1"/>
    </row>
    <row x14ac:dyDescent="0.25" r="67" customHeight="1" ht="409.5">
      <c r="A67" s="1"/>
      <c r="B67" s="1"/>
    </row>
    <row x14ac:dyDescent="0.25" r="68" customHeight="1" ht="409.5">
      <c r="A68" s="1"/>
      <c r="B68" s="1"/>
    </row>
    <row x14ac:dyDescent="0.25" r="69" customHeight="1" ht="409.5">
      <c r="A69" s="1"/>
      <c r="B69" s="1"/>
    </row>
    <row x14ac:dyDescent="0.25" r="70" customHeight="1" ht="409.5">
      <c r="A70" s="1"/>
      <c r="B70" s="1"/>
    </row>
    <row x14ac:dyDescent="0.25" r="71" customHeight="1" ht="409.5">
      <c r="A71" s="1"/>
      <c r="B71" s="1"/>
    </row>
    <row x14ac:dyDescent="0.25" r="72" customHeight="1" ht="409.5">
      <c r="A72" s="1"/>
      <c r="B72" s="1"/>
    </row>
    <row x14ac:dyDescent="0.25" r="73" customHeight="1" ht="409.5">
      <c r="A73" s="1"/>
      <c r="B73" s="1"/>
    </row>
    <row x14ac:dyDescent="0.25" r="74" customHeight="1" ht="409.5">
      <c r="A74" s="1"/>
      <c r="B74" s="1"/>
    </row>
    <row x14ac:dyDescent="0.25" r="75" customHeight="1" ht="409.5">
      <c r="A75" s="1"/>
      <c r="B75" s="1"/>
    </row>
    <row x14ac:dyDescent="0.25" r="76" customHeight="1" ht="409.5">
      <c r="A76" s="1"/>
      <c r="B76" s="1"/>
    </row>
    <row x14ac:dyDescent="0.25" r="77" customHeight="1" ht="409.5">
      <c r="A77" s="1"/>
      <c r="B77" s="1"/>
    </row>
    <row x14ac:dyDescent="0.25" r="78" customHeight="1" ht="409.5">
      <c r="A78" s="1"/>
      <c r="B78" s="1"/>
    </row>
    <row x14ac:dyDescent="0.25" r="79" customHeight="1" ht="409.5">
      <c r="A79" s="1"/>
      <c r="B79" s="1"/>
    </row>
    <row x14ac:dyDescent="0.25" r="80" customHeight="1" ht="409.5">
      <c r="A80" s="1"/>
      <c r="B80" s="1"/>
    </row>
    <row x14ac:dyDescent="0.25" r="81" customHeight="1" ht="409.5">
      <c r="A81" s="1"/>
      <c r="B81" s="1"/>
    </row>
    <row x14ac:dyDescent="0.25" r="82" customHeight="1" ht="409.5">
      <c r="A82" s="1"/>
      <c r="B82" s="1"/>
    </row>
    <row x14ac:dyDescent="0.25" r="83" customHeight="1" ht="409.5">
      <c r="A83" s="1"/>
      <c r="B83" s="1"/>
    </row>
    <row x14ac:dyDescent="0.25" r="84" customHeight="1" ht="409.5">
      <c r="A84" s="1"/>
      <c r="B84" s="1"/>
    </row>
    <row x14ac:dyDescent="0.25" r="85" customHeight="1" ht="409.5">
      <c r="A85" s="1"/>
      <c r="B85" s="1"/>
    </row>
    <row x14ac:dyDescent="0.25" r="86" customHeight="1" ht="409.5">
      <c r="A86" s="1"/>
      <c r="B86" s="1"/>
    </row>
    <row x14ac:dyDescent="0.25" r="87" customHeight="1" ht="409.5">
      <c r="A87" s="1"/>
      <c r="B87" s="1"/>
    </row>
    <row x14ac:dyDescent="0.25" r="88" customHeight="1" ht="409.5">
      <c r="A88" s="1"/>
      <c r="B88" s="1"/>
    </row>
    <row x14ac:dyDescent="0.25" r="89" customHeight="1" ht="409.5">
      <c r="A89" s="1"/>
      <c r="B89" s="1"/>
    </row>
    <row x14ac:dyDescent="0.25" r="90" customHeight="1" ht="409.5">
      <c r="A90" s="1"/>
      <c r="B90" s="1"/>
    </row>
    <row x14ac:dyDescent="0.25" r="91" customHeight="1" ht="409.5">
      <c r="A91" s="1"/>
      <c r="B91" s="1"/>
    </row>
    <row x14ac:dyDescent="0.25" r="92" customHeight="1" ht="409.5">
      <c r="A92" s="1"/>
      <c r="B92" s="1"/>
    </row>
    <row x14ac:dyDescent="0.25" r="93" customHeight="1" ht="409.5">
      <c r="A93" s="1"/>
      <c r="B93" s="1"/>
    </row>
    <row x14ac:dyDescent="0.25" r="94" customHeight="1" ht="409.5">
      <c r="A94" s="1"/>
      <c r="B94" s="1"/>
    </row>
    <row x14ac:dyDescent="0.25" r="95" customHeight="1" ht="409.5">
      <c r="A95" s="1"/>
      <c r="B95" s="1"/>
    </row>
    <row x14ac:dyDescent="0.25" r="96" customHeight="1" ht="409.5">
      <c r="A96" s="1"/>
      <c r="B96" s="1"/>
    </row>
    <row x14ac:dyDescent="0.25" r="97" customHeight="1" ht="409.5">
      <c r="A97" s="1"/>
      <c r="B97" s="1"/>
    </row>
    <row x14ac:dyDescent="0.25" r="98" customHeight="1" ht="409.5">
      <c r="A98" s="1"/>
      <c r="B98" s="1"/>
    </row>
    <row x14ac:dyDescent="0.25" r="99" customHeight="1" ht="409.5">
      <c r="A99" s="1"/>
      <c r="B99" s="1"/>
    </row>
    <row x14ac:dyDescent="0.25" r="100" customHeight="1" ht="409.5">
      <c r="A100" s="1"/>
      <c r="B100" s="1"/>
    </row>
    <row x14ac:dyDescent="0.25" r="101" customHeight="1" ht="409.5">
      <c r="A101" s="1"/>
      <c r="B101" s="1"/>
    </row>
    <row x14ac:dyDescent="0.25" r="102" customHeight="1" ht="409.5">
      <c r="A102" s="1"/>
      <c r="B102" s="1"/>
    </row>
    <row x14ac:dyDescent="0.25" r="103" customHeight="1" ht="409.5">
      <c r="A103" s="1"/>
      <c r="B103" s="1"/>
    </row>
    <row x14ac:dyDescent="0.25" r="104" customHeight="1" ht="409.5">
      <c r="A104" s="1"/>
      <c r="B104" s="1"/>
    </row>
    <row x14ac:dyDescent="0.25" r="105" customHeight="1" ht="409.5">
      <c r="A105" s="1"/>
      <c r="B105" s="1"/>
    </row>
    <row x14ac:dyDescent="0.25" r="106" customHeight="1" ht="409.5">
      <c r="A106" s="1"/>
      <c r="B106" s="1"/>
    </row>
    <row x14ac:dyDescent="0.25" r="107" customHeight="1" ht="409.5">
      <c r="A107" s="1"/>
      <c r="B107" s="1"/>
    </row>
    <row x14ac:dyDescent="0.25" r="108" customHeight="1" ht="409.5">
      <c r="A108" s="1"/>
      <c r="B108" s="1"/>
    </row>
    <row x14ac:dyDescent="0.25" r="109" customHeight="1" ht="409.5">
      <c r="A109" s="1"/>
      <c r="B109" s="1"/>
    </row>
    <row x14ac:dyDescent="0.25" r="110" customHeight="1" ht="409.5">
      <c r="A110" s="1"/>
      <c r="B110" s="1"/>
    </row>
    <row x14ac:dyDescent="0.25" r="111" customHeight="1" ht="409.5">
      <c r="A111" s="1"/>
      <c r="B111" s="1"/>
    </row>
    <row x14ac:dyDescent="0.25" r="112" customHeight="1" ht="409.5">
      <c r="A112" s="1"/>
      <c r="B112" s="1"/>
    </row>
    <row x14ac:dyDescent="0.25" r="113" customHeight="1" ht="409.5">
      <c r="A113" s="1"/>
      <c r="B113" s="1"/>
    </row>
    <row x14ac:dyDescent="0.25" r="114" customHeight="1" ht="409.5">
      <c r="A114" s="1"/>
      <c r="B114" s="1"/>
    </row>
    <row x14ac:dyDescent="0.25" r="115" customHeight="1" ht="409.5">
      <c r="A115" s="1"/>
      <c r="B115" s="1"/>
    </row>
    <row x14ac:dyDescent="0.25" r="116" customHeight="1" ht="409.5">
      <c r="A116" s="1"/>
      <c r="B116" s="1"/>
    </row>
    <row x14ac:dyDescent="0.25" r="117" customHeight="1" ht="409.5">
      <c r="A117" s="1"/>
      <c r="B117" s="1"/>
    </row>
    <row x14ac:dyDescent="0.25" r="118" customHeight="1" ht="409.5">
      <c r="A118" s="1"/>
      <c r="B118" s="1"/>
    </row>
    <row x14ac:dyDescent="0.25" r="119" customHeight="1" ht="409.5">
      <c r="A119" s="1"/>
      <c r="B119" s="1"/>
    </row>
    <row x14ac:dyDescent="0.25" r="120" customHeight="1" ht="409.5">
      <c r="A120" s="1"/>
      <c r="B120" s="1"/>
    </row>
    <row x14ac:dyDescent="0.25" r="121" customHeight="1" ht="409.5">
      <c r="A121" s="1"/>
      <c r="B121" s="1"/>
    </row>
    <row x14ac:dyDescent="0.25" r="122" customHeight="1" ht="409.5">
      <c r="A122" s="1"/>
      <c r="B122" s="1"/>
    </row>
    <row x14ac:dyDescent="0.25" r="123" customHeight="1" ht="409.5">
      <c r="A123" s="1"/>
      <c r="B123" s="1"/>
    </row>
    <row x14ac:dyDescent="0.25" r="124" customHeight="1" ht="409.5">
      <c r="A124" s="1"/>
      <c r="B124" s="1"/>
    </row>
    <row x14ac:dyDescent="0.25" r="125" customHeight="1" ht="409.5">
      <c r="A125" s="1"/>
      <c r="B125" s="1"/>
    </row>
    <row x14ac:dyDescent="0.25" r="126" customHeight="1" ht="409.5">
      <c r="A126" s="1"/>
      <c r="B126" s="1"/>
    </row>
    <row x14ac:dyDescent="0.25" r="127" customHeight="1" ht="409.5">
      <c r="A127" s="1"/>
      <c r="B127" s="1"/>
    </row>
    <row x14ac:dyDescent="0.25" r="128" customHeight="1" ht="409.5">
      <c r="A128" s="1"/>
      <c r="B128" s="1"/>
    </row>
    <row x14ac:dyDescent="0.25" r="129" customHeight="1" ht="409.5">
      <c r="A129" s="1"/>
      <c r="B129" s="1"/>
    </row>
    <row x14ac:dyDescent="0.25" r="130" customHeight="1" ht="409.5">
      <c r="A130" s="1"/>
      <c r="B130" s="1"/>
    </row>
    <row x14ac:dyDescent="0.25" r="131" customHeight="1" ht="409.5">
      <c r="A131" s="1"/>
      <c r="B131" s="1"/>
    </row>
    <row x14ac:dyDescent="0.25" r="132" customHeight="1" ht="409.5">
      <c r="A132" s="1"/>
      <c r="B132" s="1"/>
    </row>
    <row x14ac:dyDescent="0.25" r="133" customHeight="1" ht="409.5">
      <c r="A133" s="1"/>
      <c r="B133" s="1"/>
    </row>
    <row x14ac:dyDescent="0.25" r="134" customHeight="1" ht="409.5">
      <c r="A134" s="1"/>
      <c r="B134" s="1"/>
    </row>
    <row x14ac:dyDescent="0.25" r="135" customHeight="1" ht="409.5">
      <c r="A135" s="1"/>
      <c r="B135" s="1"/>
    </row>
    <row x14ac:dyDescent="0.25" r="136" customHeight="1" ht="409.5">
      <c r="A136" s="1"/>
      <c r="B136" s="1"/>
    </row>
    <row x14ac:dyDescent="0.25" r="137" customHeight="1" ht="409.5">
      <c r="A137" s="1"/>
      <c r="B137" s="1"/>
    </row>
    <row x14ac:dyDescent="0.25" r="138" customHeight="1" ht="409.5">
      <c r="A138" s="1"/>
      <c r="B138" s="1"/>
    </row>
    <row x14ac:dyDescent="0.25" r="139" customHeight="1" ht="409.5">
      <c r="A139" s="1"/>
      <c r="B139" s="1"/>
    </row>
    <row x14ac:dyDescent="0.25" r="140" customHeight="1" ht="409.5">
      <c r="A140" s="1"/>
      <c r="B140" s="1"/>
    </row>
    <row x14ac:dyDescent="0.25" r="141" customHeight="1" ht="409.5">
      <c r="A141" s="1"/>
      <c r="B141" s="1"/>
    </row>
    <row x14ac:dyDescent="0.25" r="142" customHeight="1" ht="409.5">
      <c r="A142" s="1"/>
      <c r="B142" s="1"/>
    </row>
    <row x14ac:dyDescent="0.25" r="143" customHeight="1" ht="409.5">
      <c r="A143" s="1"/>
      <c r="B143" s="1"/>
    </row>
    <row x14ac:dyDescent="0.25" r="144" customHeight="1" ht="409.5">
      <c r="A144" s="1"/>
      <c r="B144" s="1"/>
    </row>
    <row x14ac:dyDescent="0.25" r="145" customHeight="1" ht="409.5">
      <c r="A145" s="1"/>
      <c r="B145" s="1"/>
    </row>
    <row x14ac:dyDescent="0.25" r="146" customHeight="1" ht="409.5">
      <c r="A146" s="1"/>
      <c r="B146" s="1"/>
    </row>
    <row x14ac:dyDescent="0.25" r="147" customHeight="1" ht="409.5">
      <c r="A147" s="1"/>
      <c r="B147" s="1"/>
    </row>
    <row x14ac:dyDescent="0.25" r="148" customHeight="1" ht="409.5">
      <c r="A148" s="1"/>
      <c r="B148" s="1"/>
    </row>
    <row x14ac:dyDescent="0.25" r="149" customHeight="1" ht="409.5">
      <c r="A149" s="1"/>
      <c r="B149" s="1"/>
    </row>
    <row x14ac:dyDescent="0.25" r="150" customHeight="1" ht="409.5">
      <c r="A150" s="1"/>
      <c r="B150" s="1"/>
    </row>
    <row x14ac:dyDescent="0.25" r="151" customHeight="1" ht="409.5">
      <c r="A151" s="1"/>
      <c r="B151" s="1"/>
    </row>
    <row x14ac:dyDescent="0.25" r="152" customHeight="1" ht="409.5">
      <c r="A152" s="1"/>
      <c r="B152" s="1"/>
    </row>
    <row x14ac:dyDescent="0.25" r="153" customHeight="1" ht="409.5">
      <c r="A153" s="1"/>
      <c r="B153" s="1"/>
    </row>
    <row x14ac:dyDescent="0.25" r="154" customHeight="1" ht="409.5">
      <c r="A154" s="1"/>
      <c r="B154" s="1"/>
    </row>
    <row x14ac:dyDescent="0.25" r="155" customHeight="1" ht="409.5">
      <c r="A155" s="1"/>
      <c r="B155" s="1"/>
    </row>
    <row x14ac:dyDescent="0.25" r="156" customHeight="1" ht="409.5">
      <c r="A156" s="1"/>
      <c r="B156" s="1"/>
    </row>
    <row x14ac:dyDescent="0.25" r="157" customHeight="1" ht="409.5">
      <c r="A157" s="1"/>
      <c r="B157" s="1"/>
    </row>
    <row x14ac:dyDescent="0.25" r="158" customHeight="1" ht="409.5">
      <c r="A158" s="1"/>
      <c r="B158" s="1"/>
    </row>
    <row x14ac:dyDescent="0.25" r="159" customHeight="1" ht="409.5">
      <c r="A159" s="1"/>
      <c r="B159" s="1"/>
    </row>
    <row x14ac:dyDescent="0.25" r="160" customHeight="1" ht="409.5">
      <c r="A160" s="1"/>
      <c r="B160" s="1"/>
    </row>
    <row x14ac:dyDescent="0.25" r="161" customHeight="1" ht="409.5">
      <c r="A161" s="1"/>
      <c r="B161" s="1"/>
    </row>
    <row x14ac:dyDescent="0.25" r="162" customHeight="1" ht="409.5">
      <c r="A162" s="1"/>
      <c r="B162" s="1"/>
    </row>
    <row x14ac:dyDescent="0.25" r="163" customHeight="1" ht="409.5">
      <c r="A163" s="1"/>
      <c r="B163" s="1"/>
    </row>
    <row x14ac:dyDescent="0.25" r="164" customHeight="1" ht="409.5">
      <c r="A164" s="1"/>
      <c r="B164" s="1"/>
    </row>
    <row x14ac:dyDescent="0.25" r="165" customHeight="1" ht="409.5">
      <c r="A165" s="1"/>
      <c r="B165" s="1"/>
    </row>
    <row x14ac:dyDescent="0.25" r="166" customHeight="1" ht="409.5">
      <c r="A166" s="1"/>
      <c r="B166" s="1"/>
    </row>
    <row x14ac:dyDescent="0.25" r="167" customHeight="1" ht="409.5">
      <c r="A167" s="1"/>
      <c r="B167" s="1"/>
    </row>
    <row x14ac:dyDescent="0.25" r="168" customHeight="1" ht="409.5">
      <c r="A168" s="1"/>
      <c r="B168" s="1"/>
    </row>
    <row x14ac:dyDescent="0.25" r="169" customHeight="1" ht="409.5">
      <c r="A169" s="1"/>
      <c r="B169" s="1"/>
    </row>
    <row x14ac:dyDescent="0.25" r="170" customHeight="1" ht="409.5">
      <c r="A170" s="1"/>
      <c r="B170" s="1"/>
    </row>
    <row x14ac:dyDescent="0.25" r="171" customHeight="1" ht="409.5">
      <c r="A171" s="1"/>
      <c r="B171" s="1"/>
    </row>
    <row x14ac:dyDescent="0.25" r="172" customHeight="1" ht="409.5">
      <c r="A172" s="1"/>
      <c r="B172" s="1"/>
    </row>
    <row x14ac:dyDescent="0.25" r="173" customHeight="1" ht="409.5">
      <c r="A173" s="1"/>
      <c r="B173" s="1"/>
    </row>
    <row x14ac:dyDescent="0.25" r="174" customHeight="1" ht="409.5">
      <c r="A174" s="1"/>
      <c r="B174" s="1"/>
    </row>
    <row x14ac:dyDescent="0.25" r="175" customHeight="1" ht="409.5">
      <c r="A175" s="1"/>
      <c r="B175" s="1"/>
    </row>
    <row x14ac:dyDescent="0.25" r="176" customHeight="1" ht="409.5">
      <c r="A176" s="1"/>
      <c r="B176" s="1"/>
    </row>
    <row x14ac:dyDescent="0.25" r="177" customHeight="1" ht="409.5">
      <c r="A177" s="1"/>
      <c r="B177" s="1"/>
    </row>
    <row x14ac:dyDescent="0.25" r="178" customHeight="1" ht="409.5">
      <c r="A178" s="1"/>
      <c r="B178" s="1"/>
    </row>
    <row x14ac:dyDescent="0.25" r="179" customHeight="1" ht="409.5">
      <c r="A179" s="1"/>
      <c r="B179" s="1"/>
    </row>
    <row x14ac:dyDescent="0.25" r="180" customHeight="1" ht="409.5">
      <c r="A180" s="1"/>
      <c r="B180" s="1"/>
    </row>
    <row x14ac:dyDescent="0.25" r="181" customHeight="1" ht="409.5">
      <c r="A181" s="1"/>
      <c r="B181" s="1"/>
    </row>
    <row x14ac:dyDescent="0.25" r="182" customHeight="1" ht="409.5">
      <c r="A182" s="1"/>
      <c r="B182" s="1"/>
    </row>
    <row x14ac:dyDescent="0.25" r="183" customHeight="1" ht="409.5">
      <c r="A183" s="1"/>
      <c r="B183" s="1"/>
    </row>
    <row x14ac:dyDescent="0.25" r="184" customHeight="1" ht="409.5">
      <c r="A184" s="1"/>
      <c r="B184" s="1"/>
    </row>
    <row x14ac:dyDescent="0.25" r="185" customHeight="1" ht="409.5">
      <c r="A185" s="1"/>
      <c r="B185" s="1"/>
    </row>
    <row x14ac:dyDescent="0.25" r="186" customHeight="1" ht="409.5">
      <c r="A186" s="1"/>
      <c r="B186" s="1"/>
    </row>
    <row x14ac:dyDescent="0.25" r="187" customHeight="1" ht="409.5">
      <c r="A187" s="1"/>
      <c r="B187" s="1"/>
    </row>
    <row x14ac:dyDescent="0.25" r="188" customHeight="1" ht="409.5">
      <c r="A188" s="1"/>
      <c r="B188" s="1"/>
    </row>
    <row x14ac:dyDescent="0.25" r="189" customHeight="1" ht="409.5">
      <c r="A189" s="1"/>
      <c r="B189" s="1"/>
    </row>
    <row x14ac:dyDescent="0.25" r="190" customHeight="1" ht="409.5">
      <c r="A190" s="1"/>
      <c r="B190" s="1"/>
    </row>
    <row x14ac:dyDescent="0.25" r="191" customHeight="1" ht="409.5">
      <c r="A191" s="1"/>
      <c r="B191" s="1"/>
    </row>
    <row x14ac:dyDescent="0.25" r="192" customHeight="1" ht="409.5">
      <c r="A192" s="1"/>
      <c r="B192" s="1"/>
    </row>
    <row x14ac:dyDescent="0.25" r="193" customHeight="1" ht="409.5">
      <c r="A193" s="1"/>
      <c r="B193" s="1"/>
    </row>
    <row x14ac:dyDescent="0.25" r="194" customHeight="1" ht="409.5">
      <c r="A194" s="1"/>
      <c r="B194" s="1"/>
    </row>
    <row x14ac:dyDescent="0.25" r="195" customHeight="1" ht="409.5">
      <c r="A195" s="1"/>
      <c r="B195" s="1"/>
    </row>
    <row x14ac:dyDescent="0.25" r="196" customHeight="1" ht="409.5">
      <c r="A196" s="1"/>
      <c r="B196" s="1"/>
    </row>
    <row x14ac:dyDescent="0.25" r="197" customHeight="1" ht="409.5">
      <c r="A197" s="1"/>
      <c r="B197" s="1"/>
    </row>
    <row x14ac:dyDescent="0.25" r="198" customHeight="1" ht="409.5">
      <c r="A198" s="1"/>
      <c r="B198" s="1"/>
    </row>
    <row x14ac:dyDescent="0.25" r="199" customHeight="1" ht="409.5">
      <c r="A199" s="1"/>
      <c r="B199" s="1"/>
    </row>
    <row x14ac:dyDescent="0.25" r="200" customHeight="1" ht="409.5">
      <c r="A200" s="1"/>
      <c r="B200" s="1"/>
    </row>
    <row x14ac:dyDescent="0.25" r="201" customHeight="1" ht="409.5">
      <c r="A201" s="1"/>
      <c r="B201" s="1"/>
    </row>
    <row x14ac:dyDescent="0.25" r="202" customHeight="1" ht="409.5">
      <c r="A202" s="1"/>
      <c r="B202" s="1"/>
    </row>
    <row x14ac:dyDescent="0.25" r="203" customHeight="1" ht="409.5">
      <c r="A203" s="1"/>
      <c r="B203" s="1"/>
    </row>
    <row x14ac:dyDescent="0.25" r="204" customHeight="1" ht="409.5">
      <c r="A204" s="1"/>
      <c r="B204" s="1"/>
    </row>
    <row x14ac:dyDescent="0.25" r="205" customHeight="1" ht="409.5">
      <c r="A205" s="1"/>
      <c r="B205" s="1"/>
    </row>
    <row x14ac:dyDescent="0.25" r="206" customHeight="1" ht="409.5">
      <c r="A206" s="1"/>
      <c r="B206" s="1"/>
    </row>
    <row x14ac:dyDescent="0.25" r="207" customHeight="1" ht="409.5">
      <c r="A207" s="1"/>
      <c r="B207" s="1"/>
    </row>
    <row x14ac:dyDescent="0.25" r="208" customHeight="1" ht="409.5">
      <c r="A208" s="1"/>
      <c r="B208" s="1"/>
    </row>
    <row x14ac:dyDescent="0.25" r="209" customHeight="1" ht="409.5">
      <c r="A209" s="1"/>
      <c r="B209" s="1"/>
    </row>
    <row x14ac:dyDescent="0.25" r="210" customHeight="1" ht="409.5">
      <c r="A210" s="1"/>
      <c r="B210" s="1"/>
    </row>
    <row x14ac:dyDescent="0.25" r="211" customHeight="1" ht="409.5">
      <c r="A211" s="1"/>
      <c r="B211" s="1"/>
    </row>
    <row x14ac:dyDescent="0.25" r="212" customHeight="1" ht="409.5">
      <c r="A212" s="1"/>
      <c r="B212" s="1"/>
    </row>
    <row x14ac:dyDescent="0.25" r="213" customHeight="1" ht="409.5">
      <c r="A213" s="1"/>
      <c r="B213" s="1"/>
    </row>
    <row x14ac:dyDescent="0.25" r="214" customHeight="1" ht="409.5">
      <c r="A214" s="1"/>
      <c r="B214" s="1"/>
    </row>
    <row x14ac:dyDescent="0.25" r="215" customHeight="1" ht="409.5">
      <c r="A215" s="1"/>
      <c r="B215" s="1"/>
    </row>
    <row x14ac:dyDescent="0.25" r="216" customHeight="1" ht="409.5">
      <c r="A216" s="1"/>
      <c r="B216" s="1"/>
    </row>
    <row x14ac:dyDescent="0.25" r="217" customHeight="1" ht="409.5">
      <c r="A217" s="1"/>
      <c r="B217" s="1"/>
    </row>
    <row x14ac:dyDescent="0.25" r="218" customHeight="1" ht="409.5">
      <c r="A218" s="1"/>
      <c r="B218" s="1"/>
    </row>
    <row x14ac:dyDescent="0.25" r="219" customHeight="1" ht="409.5">
      <c r="A219" s="1"/>
      <c r="B219" s="1"/>
    </row>
    <row x14ac:dyDescent="0.25" r="220" customHeight="1" ht="409.5">
      <c r="A220" s="1"/>
      <c r="B220" s="1"/>
    </row>
    <row x14ac:dyDescent="0.25" r="221" customHeight="1" ht="409.5">
      <c r="A221" s="1"/>
      <c r="B221" s="1"/>
    </row>
    <row x14ac:dyDescent="0.25" r="222" customHeight="1" ht="409.5">
      <c r="A222" s="1"/>
      <c r="B222" s="1"/>
    </row>
    <row x14ac:dyDescent="0.25" r="223" customHeight="1" ht="409.5">
      <c r="A223" s="1"/>
      <c r="B223" s="1"/>
    </row>
    <row x14ac:dyDescent="0.25" r="224" customHeight="1" ht="409.5">
      <c r="A224" s="1"/>
      <c r="B224" s="1"/>
    </row>
    <row x14ac:dyDescent="0.25" r="225" customHeight="1" ht="409.5">
      <c r="A225" s="1"/>
      <c r="B225" s="1"/>
    </row>
    <row x14ac:dyDescent="0.25" r="226" customHeight="1" ht="409.5">
      <c r="A226" s="1"/>
      <c r="B226" s="1"/>
    </row>
    <row x14ac:dyDescent="0.25" r="227" customHeight="1" ht="409.5">
      <c r="A227" s="1"/>
      <c r="B227" s="1"/>
    </row>
    <row x14ac:dyDescent="0.25" r="228" customHeight="1" ht="409.5">
      <c r="A228" s="1"/>
      <c r="B228" s="1"/>
    </row>
    <row x14ac:dyDescent="0.25" r="229" customHeight="1" ht="409.5">
      <c r="A229" s="1"/>
      <c r="B229" s="1"/>
    </row>
    <row x14ac:dyDescent="0.25" r="230" customHeight="1" ht="409.5">
      <c r="A230" s="1"/>
      <c r="B230" s="1"/>
    </row>
    <row x14ac:dyDescent="0.25" r="231" customHeight="1" ht="409.5">
      <c r="A231" s="1"/>
      <c r="B231" s="1"/>
    </row>
    <row x14ac:dyDescent="0.25" r="232" customHeight="1" ht="409.5">
      <c r="A232" s="1"/>
      <c r="B232" s="1"/>
    </row>
    <row x14ac:dyDescent="0.25" r="233" customHeight="1" ht="409.5">
      <c r="A233" s="1"/>
      <c r="B233" s="1"/>
    </row>
    <row x14ac:dyDescent="0.25" r="234" customHeight="1" ht="409.5">
      <c r="A234" s="1"/>
      <c r="B234" s="1"/>
    </row>
    <row x14ac:dyDescent="0.25" r="235" customHeight="1" ht="409.5">
      <c r="A235" s="1"/>
      <c r="B235" s="1"/>
    </row>
    <row x14ac:dyDescent="0.25" r="236" customHeight="1" ht="409.5">
      <c r="A236" s="1"/>
      <c r="B236" s="1"/>
    </row>
    <row x14ac:dyDescent="0.25" r="237" customHeight="1" ht="409.5">
      <c r="A237" s="1"/>
      <c r="B237" s="1"/>
    </row>
    <row x14ac:dyDescent="0.25" r="238" customHeight="1" ht="409.5">
      <c r="A238" s="1"/>
      <c r="B238" s="1"/>
    </row>
    <row x14ac:dyDescent="0.25" r="239" customHeight="1" ht="409.5">
      <c r="A239" s="1"/>
      <c r="B239" s="1"/>
    </row>
    <row x14ac:dyDescent="0.25" r="240" customHeight="1" ht="409.5">
      <c r="A240" s="1"/>
      <c r="B240" s="1"/>
    </row>
    <row x14ac:dyDescent="0.25" r="241" customHeight="1" ht="409.5">
      <c r="A241" s="1"/>
      <c r="B241" s="1"/>
    </row>
    <row x14ac:dyDescent="0.25" r="242" customHeight="1" ht="409.5">
      <c r="A242" s="1"/>
      <c r="B242" s="1"/>
    </row>
    <row x14ac:dyDescent="0.25" r="243" customHeight="1" ht="409.5">
      <c r="A243" s="1"/>
      <c r="B243" s="1"/>
    </row>
    <row x14ac:dyDescent="0.25" r="244" customHeight="1" ht="409.5">
      <c r="A244" s="1"/>
      <c r="B244" s="1"/>
    </row>
    <row x14ac:dyDescent="0.25" r="245" customHeight="1" ht="409.5">
      <c r="A245" s="1"/>
      <c r="B245" s="1"/>
    </row>
    <row x14ac:dyDescent="0.25" r="246" customHeight="1" ht="409.5">
      <c r="A246" s="1"/>
      <c r="B246" s="1"/>
    </row>
    <row x14ac:dyDescent="0.25" r="247" customHeight="1" ht="409.5">
      <c r="A247" s="1"/>
      <c r="B247" s="1"/>
    </row>
    <row x14ac:dyDescent="0.25" r="248" customHeight="1" ht="409.5">
      <c r="A248" s="1"/>
      <c r="B248" s="1"/>
    </row>
    <row x14ac:dyDescent="0.25" r="249" customHeight="1" ht="409.5">
      <c r="A249" s="1"/>
      <c r="B249" s="1"/>
    </row>
    <row x14ac:dyDescent="0.25" r="250" customHeight="1" ht="409.5">
      <c r="A250" s="1"/>
      <c r="B250" s="1"/>
    </row>
    <row x14ac:dyDescent="0.25" r="251" customHeight="1" ht="409.5">
      <c r="A251" s="1"/>
      <c r="B251" s="1"/>
    </row>
    <row x14ac:dyDescent="0.25" r="252" customHeight="1" ht="409.5">
      <c r="A252" s="1"/>
      <c r="B252" s="1"/>
    </row>
    <row x14ac:dyDescent="0.25" r="253" customHeight="1" ht="409.5">
      <c r="A253" s="1"/>
      <c r="B253" s="1"/>
    </row>
    <row x14ac:dyDescent="0.25" r="254" customHeight="1" ht="409.5">
      <c r="A254" s="1"/>
      <c r="B254" s="1"/>
    </row>
    <row x14ac:dyDescent="0.25" r="255" customHeight="1" ht="409.5">
      <c r="A255" s="1"/>
      <c r="B255" s="1"/>
    </row>
    <row x14ac:dyDescent="0.25" r="256" customHeight="1" ht="409.5">
      <c r="A256" s="1"/>
      <c r="B256" s="1"/>
    </row>
    <row x14ac:dyDescent="0.25" r="257" customHeight="1" ht="409.5">
      <c r="A257" s="1"/>
      <c r="B257" s="1"/>
    </row>
    <row x14ac:dyDescent="0.25" r="258" customHeight="1" ht="409.5">
      <c r="A258" s="1"/>
      <c r="B258" s="1"/>
    </row>
    <row x14ac:dyDescent="0.25" r="259" customHeight="1" ht="409.5">
      <c r="A259" s="1"/>
      <c r="B259" s="1"/>
    </row>
    <row x14ac:dyDescent="0.25" r="260" customHeight="1" ht="409.5">
      <c r="A260" s="1"/>
      <c r="B260" s="1"/>
    </row>
    <row x14ac:dyDescent="0.25" r="261" customHeight="1" ht="409.5">
      <c r="A261" s="1"/>
      <c r="B261" s="1"/>
    </row>
    <row x14ac:dyDescent="0.25" r="262" customHeight="1" ht="409.5">
      <c r="A262" s="1"/>
      <c r="B262" s="1"/>
    </row>
    <row x14ac:dyDescent="0.25" r="263" customHeight="1" ht="409.5">
      <c r="A263" s="1"/>
      <c r="B263" s="1"/>
    </row>
    <row x14ac:dyDescent="0.25" r="264" customHeight="1" ht="409.5">
      <c r="A264" s="1"/>
      <c r="B264" s="1"/>
    </row>
    <row x14ac:dyDescent="0.25" r="265" customHeight="1" ht="409.5">
      <c r="A265" s="1"/>
      <c r="B265" s="1"/>
    </row>
    <row x14ac:dyDescent="0.25" r="266" customHeight="1" ht="409.5">
      <c r="A266" s="1"/>
      <c r="B266" s="1"/>
    </row>
    <row x14ac:dyDescent="0.25" r="267" customHeight="1" ht="409.5">
      <c r="A267" s="1"/>
      <c r="B267" s="1"/>
    </row>
    <row x14ac:dyDescent="0.25" r="268" customHeight="1" ht="409.5">
      <c r="A268" s="1"/>
      <c r="B268" s="1"/>
    </row>
    <row x14ac:dyDescent="0.25" r="269" customHeight="1" ht="409.5">
      <c r="A269" s="1"/>
      <c r="B269" s="1"/>
    </row>
    <row x14ac:dyDescent="0.25" r="270" customHeight="1" ht="409.5">
      <c r="A270" s="1"/>
      <c r="B270" s="1"/>
    </row>
    <row x14ac:dyDescent="0.25" r="271" customHeight="1" ht="409.5">
      <c r="A271" s="1"/>
      <c r="B271" s="1"/>
    </row>
    <row x14ac:dyDescent="0.25" r="272" customHeight="1" ht="409.5">
      <c r="A272" s="1"/>
      <c r="B272" s="1"/>
    </row>
    <row x14ac:dyDescent="0.25" r="273" customHeight="1" ht="409.5">
      <c r="A273" s="1"/>
      <c r="B273" s="1"/>
    </row>
    <row x14ac:dyDescent="0.25" r="274" customHeight="1" ht="409.5">
      <c r="A274" s="1"/>
      <c r="B274" s="1"/>
    </row>
    <row x14ac:dyDescent="0.25" r="275" customHeight="1" ht="409.5">
      <c r="A275" s="1"/>
      <c r="B275" s="1"/>
    </row>
    <row x14ac:dyDescent="0.25" r="276" customHeight="1" ht="409.5">
      <c r="A276" s="1"/>
      <c r="B276" s="1"/>
    </row>
    <row x14ac:dyDescent="0.25" r="277" customHeight="1" ht="409.5">
      <c r="A277" s="1"/>
      <c r="B277" s="1"/>
    </row>
    <row x14ac:dyDescent="0.25" r="278" customHeight="1" ht="409.5">
      <c r="A278" s="1"/>
      <c r="B278" s="1"/>
    </row>
    <row x14ac:dyDescent="0.25" r="279" customHeight="1" ht="409.5">
      <c r="A279" s="1"/>
      <c r="B279" s="1"/>
    </row>
    <row x14ac:dyDescent="0.25" r="280" customHeight="1" ht="409.5">
      <c r="A280" s="1"/>
      <c r="B280" s="1"/>
    </row>
    <row x14ac:dyDescent="0.25" r="281" customHeight="1" ht="409.5">
      <c r="A281" s="1"/>
      <c r="B281" s="1"/>
    </row>
    <row x14ac:dyDescent="0.25" r="282" customHeight="1" ht="409.5">
      <c r="A282" s="1"/>
      <c r="B282" s="1"/>
    </row>
    <row x14ac:dyDescent="0.25" r="283" customHeight="1" ht="409.5">
      <c r="A283" s="1"/>
      <c r="B283" s="1"/>
    </row>
    <row x14ac:dyDescent="0.25" r="284" customHeight="1" ht="409.5">
      <c r="A284" s="1"/>
      <c r="B284" s="1"/>
    </row>
    <row x14ac:dyDescent="0.25" r="285" customHeight="1" ht="409.5">
      <c r="A285" s="1"/>
      <c r="B285" s="1"/>
    </row>
    <row x14ac:dyDescent="0.25" r="286" customHeight="1" ht="409.5">
      <c r="A286" s="1"/>
      <c r="B286" s="1"/>
    </row>
    <row x14ac:dyDescent="0.25" r="287" customHeight="1" ht="409.5">
      <c r="A287" s="1"/>
      <c r="B287" s="1"/>
    </row>
    <row x14ac:dyDescent="0.25" r="288" customHeight="1" ht="409.5">
      <c r="A288" s="1"/>
      <c r="B288" s="1"/>
    </row>
    <row x14ac:dyDescent="0.25" r="289" customHeight="1" ht="409.5">
      <c r="A289" s="1"/>
      <c r="B289" s="1"/>
    </row>
    <row x14ac:dyDescent="0.25" r="290" customHeight="1" ht="409.5">
      <c r="A290" s="1"/>
      <c r="B290" s="1"/>
    </row>
    <row x14ac:dyDescent="0.25" r="291" customHeight="1" ht="409.5">
      <c r="A291" s="1"/>
      <c r="B291" s="1"/>
    </row>
    <row x14ac:dyDescent="0.25" r="292" customHeight="1" ht="409.5">
      <c r="A292" s="1"/>
      <c r="B292" s="1"/>
    </row>
    <row x14ac:dyDescent="0.25" r="293" customHeight="1" ht="409.5">
      <c r="A293" s="1"/>
      <c r="B293" s="1"/>
    </row>
    <row x14ac:dyDescent="0.25" r="294" customHeight="1" ht="409.5">
      <c r="A294" s="1"/>
      <c r="B294" s="1"/>
    </row>
    <row x14ac:dyDescent="0.25" r="295" customHeight="1" ht="409.5">
      <c r="A295" s="1"/>
      <c r="B295" s="1"/>
    </row>
    <row x14ac:dyDescent="0.25" r="296" customHeight="1" ht="409.5">
      <c r="A296" s="1"/>
      <c r="B296" s="1"/>
    </row>
    <row x14ac:dyDescent="0.25" r="297" customHeight="1" ht="409.5">
      <c r="A297" s="1"/>
      <c r="B297" s="1"/>
    </row>
    <row x14ac:dyDescent="0.25" r="298" customHeight="1" ht="409.5">
      <c r="A298" s="1"/>
      <c r="B298" s="1"/>
    </row>
    <row x14ac:dyDescent="0.25" r="299" customHeight="1" ht="409.5">
      <c r="A299" s="1"/>
      <c r="B299" s="1"/>
    </row>
    <row x14ac:dyDescent="0.25" r="300" customHeight="1" ht="409.5">
      <c r="A300" s="1"/>
      <c r="B300" s="1"/>
    </row>
    <row x14ac:dyDescent="0.25" r="301" customHeight="1" ht="409.5">
      <c r="A301" s="1"/>
      <c r="B301" s="1"/>
    </row>
    <row x14ac:dyDescent="0.25" r="302" customHeight="1" ht="409.5">
      <c r="A302" s="1"/>
      <c r="B302" s="1"/>
    </row>
    <row x14ac:dyDescent="0.25" r="303" customHeight="1" ht="409.5">
      <c r="A303" s="1"/>
      <c r="B303" s="1"/>
    </row>
    <row x14ac:dyDescent="0.25" r="304" customHeight="1" ht="409.5">
      <c r="A304" s="1"/>
      <c r="B304" s="1"/>
    </row>
    <row x14ac:dyDescent="0.25" r="305" customHeight="1" ht="409.5">
      <c r="A305" s="1"/>
      <c r="B305" s="1"/>
    </row>
    <row x14ac:dyDescent="0.25" r="306" customHeight="1" ht="409.5">
      <c r="A306" s="1"/>
      <c r="B306" s="1"/>
    </row>
    <row x14ac:dyDescent="0.25" r="307" customHeight="1" ht="409.5">
      <c r="A307" s="1"/>
      <c r="B307" s="1"/>
    </row>
    <row x14ac:dyDescent="0.25" r="308" customHeight="1" ht="409.5">
      <c r="A308" s="1"/>
      <c r="B308" s="1"/>
    </row>
    <row x14ac:dyDescent="0.25" r="309" customHeight="1" ht="409.5">
      <c r="A309" s="1"/>
      <c r="B309" s="1"/>
    </row>
    <row x14ac:dyDescent="0.25" r="310" customHeight="1" ht="409.5">
      <c r="A310" s="1"/>
      <c r="B310" s="1"/>
    </row>
    <row x14ac:dyDescent="0.25" r="311" customHeight="1" ht="409.5">
      <c r="A311" s="1"/>
      <c r="B311" s="1"/>
    </row>
    <row x14ac:dyDescent="0.25" r="312" customHeight="1" ht="409.5">
      <c r="A312" s="1"/>
      <c r="B312" s="1"/>
    </row>
    <row x14ac:dyDescent="0.25" r="313" customHeight="1" ht="409.5">
      <c r="A313" s="1"/>
      <c r="B313" s="1"/>
    </row>
    <row x14ac:dyDescent="0.25" r="314" customHeight="1" ht="409.5">
      <c r="A314" s="1"/>
      <c r="B314" s="1"/>
    </row>
    <row x14ac:dyDescent="0.25" r="315" customHeight="1" ht="409.5">
      <c r="A315" s="1"/>
      <c r="B315" s="1"/>
    </row>
    <row x14ac:dyDescent="0.25" r="316" customHeight="1" ht="409.5">
      <c r="A316" s="1"/>
      <c r="B316" s="1"/>
    </row>
    <row x14ac:dyDescent="0.25" r="317" customHeight="1" ht="409.5">
      <c r="A317" s="1"/>
      <c r="B317" s="1"/>
    </row>
    <row x14ac:dyDescent="0.25" r="318" customHeight="1" ht="409.5">
      <c r="A318" s="1"/>
      <c r="B318" s="1"/>
    </row>
    <row x14ac:dyDescent="0.25" r="319" customHeight="1" ht="409.5">
      <c r="A319" s="1"/>
      <c r="B319" s="1"/>
    </row>
    <row x14ac:dyDescent="0.25" r="320" customHeight="1" ht="409.5">
      <c r="A320" s="1"/>
      <c r="B320" s="1"/>
    </row>
    <row x14ac:dyDescent="0.25" r="321" customHeight="1" ht="409.5">
      <c r="A321" s="1"/>
      <c r="B321" s="1"/>
    </row>
    <row x14ac:dyDescent="0.25" r="322" customHeight="1" ht="409.5">
      <c r="A322" s="1"/>
      <c r="B322" s="1"/>
    </row>
    <row x14ac:dyDescent="0.25" r="323" customHeight="1" ht="409.5">
      <c r="A323" s="1"/>
      <c r="B323" s="1"/>
    </row>
    <row x14ac:dyDescent="0.25" r="324" customHeight="1" ht="409.5">
      <c r="A324" s="1"/>
      <c r="B324" s="1"/>
    </row>
    <row x14ac:dyDescent="0.25" r="325" customHeight="1" ht="409.5">
      <c r="A325" s="1"/>
      <c r="B325" s="1"/>
    </row>
    <row x14ac:dyDescent="0.25" r="326" customHeight="1" ht="409.5">
      <c r="A326" s="1"/>
      <c r="B326" s="1"/>
    </row>
    <row x14ac:dyDescent="0.25" r="327" customHeight="1" ht="409.5">
      <c r="A327" s="1"/>
      <c r="B327" s="1"/>
    </row>
    <row x14ac:dyDescent="0.25" r="328" customHeight="1" ht="409.5">
      <c r="A328" s="1"/>
      <c r="B328" s="1"/>
    </row>
    <row x14ac:dyDescent="0.25" r="329" customHeight="1" ht="409.5">
      <c r="A329" s="1"/>
      <c r="B329" s="1"/>
    </row>
    <row x14ac:dyDescent="0.25" r="330" customHeight="1" ht="409.5">
      <c r="A330" s="1"/>
      <c r="B330" s="1"/>
    </row>
    <row x14ac:dyDescent="0.25" r="331" customHeight="1" ht="409.5">
      <c r="A331" s="1"/>
      <c r="B331" s="1"/>
    </row>
    <row x14ac:dyDescent="0.25" r="332" customHeight="1" ht="409.5">
      <c r="A332" s="1"/>
      <c r="B332" s="1"/>
    </row>
    <row x14ac:dyDescent="0.25" r="333" customHeight="1" ht="409.5">
      <c r="A333" s="1"/>
      <c r="B333" s="1"/>
    </row>
    <row x14ac:dyDescent="0.25" r="334" customHeight="1" ht="409.5">
      <c r="A334" s="1"/>
      <c r="B334" s="1"/>
    </row>
    <row x14ac:dyDescent="0.25" r="335" customHeight="1" ht="409.5">
      <c r="A335" s="1"/>
      <c r="B335" s="1"/>
    </row>
    <row x14ac:dyDescent="0.25" r="336" customHeight="1" ht="409.5">
      <c r="A336" s="1"/>
      <c r="B336" s="1"/>
    </row>
    <row x14ac:dyDescent="0.25" r="337" customHeight="1" ht="409.5">
      <c r="A337" s="1"/>
      <c r="B337" s="1"/>
    </row>
    <row x14ac:dyDescent="0.25" r="338" customHeight="1" ht="409.5">
      <c r="A338" s="1"/>
      <c r="B338" s="1"/>
    </row>
    <row x14ac:dyDescent="0.25" r="339" customHeight="1" ht="409.5">
      <c r="A339" s="1"/>
      <c r="B339" s="1"/>
    </row>
    <row x14ac:dyDescent="0.25" r="340" customHeight="1" ht="409.5">
      <c r="A340" s="1"/>
      <c r="B340" s="1"/>
    </row>
    <row x14ac:dyDescent="0.25" r="341" customHeight="1" ht="409.5">
      <c r="A341" s="1"/>
      <c r="B341" s="1"/>
    </row>
    <row x14ac:dyDescent="0.25" r="342" customHeight="1" ht="409.5">
      <c r="A342" s="1"/>
      <c r="B342" s="1"/>
    </row>
    <row x14ac:dyDescent="0.25" r="343" customHeight="1" ht="409.5">
      <c r="A343" s="1"/>
      <c r="B343" s="1"/>
    </row>
    <row x14ac:dyDescent="0.25" r="344" customHeight="1" ht="409.5">
      <c r="A344" s="1"/>
      <c r="B344" s="1"/>
    </row>
    <row x14ac:dyDescent="0.25" r="345" customHeight="1" ht="409.5">
      <c r="A345" s="1"/>
      <c r="B345" s="1"/>
    </row>
    <row x14ac:dyDescent="0.25" r="346" customHeight="1" ht="409.5">
      <c r="A346" s="1"/>
      <c r="B346" s="1"/>
    </row>
    <row x14ac:dyDescent="0.25" r="347" customHeight="1" ht="409.5">
      <c r="A347" s="1"/>
      <c r="B347" s="1"/>
    </row>
    <row x14ac:dyDescent="0.25" r="348" customHeight="1" ht="409.5">
      <c r="A348" s="1"/>
      <c r="B348" s="1"/>
    </row>
    <row x14ac:dyDescent="0.25" r="349" customHeight="1" ht="409.5">
      <c r="A349" s="1"/>
      <c r="B349" s="1"/>
    </row>
    <row x14ac:dyDescent="0.25" r="350" customHeight="1" ht="409.5">
      <c r="A350" s="1"/>
      <c r="B350" s="1"/>
    </row>
    <row x14ac:dyDescent="0.25" r="351" customHeight="1" ht="409.5">
      <c r="A351" s="1"/>
      <c r="B351" s="1"/>
    </row>
    <row x14ac:dyDescent="0.25" r="352" customHeight="1" ht="409.5">
      <c r="A352" s="1"/>
      <c r="B352" s="1"/>
    </row>
    <row x14ac:dyDescent="0.25" r="353" customHeight="1" ht="409.5">
      <c r="A353" s="1"/>
      <c r="B353" s="1"/>
    </row>
    <row x14ac:dyDescent="0.25" r="354" customHeight="1" ht="409.5">
      <c r="A354" s="1"/>
      <c r="B354" s="1"/>
    </row>
    <row x14ac:dyDescent="0.25" r="355" customHeight="1" ht="409.5">
      <c r="A355" s="1"/>
      <c r="B355" s="1"/>
    </row>
    <row x14ac:dyDescent="0.25" r="356" customHeight="1" ht="409.5">
      <c r="A356" s="1"/>
      <c r="B356" s="1"/>
    </row>
    <row x14ac:dyDescent="0.25" r="357" customHeight="1" ht="409.5">
      <c r="A357" s="1"/>
      <c r="B357" s="1"/>
    </row>
    <row x14ac:dyDescent="0.25" r="358" customHeight="1" ht="409.5">
      <c r="A358" s="1"/>
      <c r="B358" s="1"/>
    </row>
    <row x14ac:dyDescent="0.25" r="359" customHeight="1" ht="409.5">
      <c r="A359" s="1"/>
      <c r="B359" s="1"/>
    </row>
    <row x14ac:dyDescent="0.25" r="360" customHeight="1" ht="409.5">
      <c r="A360" s="1"/>
      <c r="B360" s="1"/>
    </row>
    <row x14ac:dyDescent="0.25" r="361" customHeight="1" ht="409.5">
      <c r="A361" s="1"/>
      <c r="B361" s="1"/>
    </row>
    <row x14ac:dyDescent="0.25" r="362" customHeight="1" ht="409.5">
      <c r="A362" s="1"/>
      <c r="B362" s="1"/>
    </row>
    <row x14ac:dyDescent="0.25" r="363" customHeight="1" ht="409.5">
      <c r="A363" s="1"/>
      <c r="B363" s="1"/>
    </row>
    <row x14ac:dyDescent="0.25" r="364" customHeight="1" ht="409.5">
      <c r="A364" s="1"/>
      <c r="B364" s="1"/>
    </row>
    <row x14ac:dyDescent="0.25" r="365" customHeight="1" ht="409.5">
      <c r="A365" s="1"/>
      <c r="B365" s="1"/>
    </row>
    <row x14ac:dyDescent="0.25" r="366" customHeight="1" ht="409.5">
      <c r="A366" s="1"/>
      <c r="B366" s="1"/>
    </row>
    <row x14ac:dyDescent="0.25" r="367" customHeight="1" ht="409.5">
      <c r="A367" s="1"/>
      <c r="B367" s="1"/>
    </row>
    <row x14ac:dyDescent="0.25" r="368" customHeight="1" ht="409.5">
      <c r="A368" s="1"/>
      <c r="B368" s="1"/>
    </row>
    <row x14ac:dyDescent="0.25" r="369" customHeight="1" ht="409.5">
      <c r="A369" s="1"/>
      <c r="B369" s="1"/>
    </row>
    <row x14ac:dyDescent="0.25" r="370" customHeight="1" ht="409.5">
      <c r="A370" s="1"/>
      <c r="B370" s="1"/>
    </row>
    <row x14ac:dyDescent="0.25" r="371" customHeight="1" ht="409.5">
      <c r="A371" s="1"/>
      <c r="B371" s="1"/>
    </row>
    <row x14ac:dyDescent="0.25" r="372" customHeight="1" ht="409.5">
      <c r="A372" s="1"/>
      <c r="B372" s="1"/>
    </row>
    <row x14ac:dyDescent="0.25" r="373" customHeight="1" ht="409.5">
      <c r="A373" s="1"/>
      <c r="B373" s="1"/>
    </row>
    <row x14ac:dyDescent="0.25" r="374" customHeight="1" ht="409.5">
      <c r="A374" s="1"/>
      <c r="B374" s="1"/>
    </row>
    <row x14ac:dyDescent="0.25" r="375" customHeight="1" ht="409.5">
      <c r="A375" s="1"/>
      <c r="B375" s="1"/>
    </row>
    <row x14ac:dyDescent="0.25" r="376" customHeight="1" ht="409.5">
      <c r="A376" s="1"/>
      <c r="B376" s="1"/>
    </row>
    <row x14ac:dyDescent="0.25" r="377" customHeight="1" ht="409.5">
      <c r="A377" s="1"/>
      <c r="B377" s="1"/>
    </row>
    <row x14ac:dyDescent="0.25" r="378" customHeight="1" ht="409.5">
      <c r="A378" s="1"/>
      <c r="B378" s="1"/>
    </row>
    <row x14ac:dyDescent="0.25" r="379" customHeight="1" ht="409.5">
      <c r="A379" s="1"/>
      <c r="B379" s="1"/>
    </row>
    <row x14ac:dyDescent="0.25" r="380" customHeight="1" ht="409.5">
      <c r="A380" s="1"/>
      <c r="B380" s="1"/>
    </row>
    <row x14ac:dyDescent="0.25" r="381" customHeight="1" ht="409.5">
      <c r="A381" s="1"/>
      <c r="B381" s="1"/>
    </row>
    <row x14ac:dyDescent="0.25" r="382" customHeight="1" ht="409.5">
      <c r="A382" s="1"/>
      <c r="B382" s="1"/>
    </row>
    <row x14ac:dyDescent="0.25" r="383" customHeight="1" ht="409.5">
      <c r="A383" s="1"/>
      <c r="B383" s="1"/>
    </row>
    <row x14ac:dyDescent="0.25" r="384" customHeight="1" ht="409.5">
      <c r="A384" s="1"/>
      <c r="B384" s="1"/>
    </row>
    <row x14ac:dyDescent="0.25" r="385" customHeight="1" ht="409.5">
      <c r="A385" s="1"/>
      <c r="B385" s="1"/>
    </row>
    <row x14ac:dyDescent="0.25" r="386" customHeight="1" ht="409.5">
      <c r="A386" s="1"/>
      <c r="B386" s="1"/>
    </row>
    <row x14ac:dyDescent="0.25" r="387" customHeight="1" ht="409.5">
      <c r="A387" s="1"/>
      <c r="B387" s="1"/>
    </row>
    <row x14ac:dyDescent="0.25" r="388" customHeight="1" ht="409.5">
      <c r="A388" s="1"/>
      <c r="B388" s="1"/>
    </row>
    <row x14ac:dyDescent="0.25" r="389" customHeight="1" ht="409.5">
      <c r="A389" s="1"/>
      <c r="B389" s="1"/>
    </row>
    <row x14ac:dyDescent="0.25" r="390" customHeight="1" ht="409.5">
      <c r="A390" s="1"/>
      <c r="B390" s="1"/>
    </row>
    <row x14ac:dyDescent="0.25" r="391" customHeight="1" ht="409.5">
      <c r="A391" s="1"/>
      <c r="B391" s="1"/>
    </row>
    <row x14ac:dyDescent="0.25" r="392" customHeight="1" ht="409.5">
      <c r="A392" s="1"/>
      <c r="B392" s="1"/>
    </row>
    <row x14ac:dyDescent="0.25" r="393" customHeight="1" ht="409.5">
      <c r="A393" s="1"/>
      <c r="B393" s="1"/>
    </row>
    <row x14ac:dyDescent="0.25" r="394" customHeight="1" ht="409.5">
      <c r="A394" s="1"/>
      <c r="B394" s="1"/>
    </row>
    <row x14ac:dyDescent="0.25" r="395" customHeight="1" ht="409.5">
      <c r="A395" s="1"/>
      <c r="B395" s="1"/>
    </row>
    <row x14ac:dyDescent="0.25" r="396" customHeight="1" ht="409.5">
      <c r="A396" s="1"/>
      <c r="B396" s="1"/>
    </row>
    <row x14ac:dyDescent="0.25" r="397" customHeight="1" ht="409.5">
      <c r="A397" s="1"/>
      <c r="B397" s="1"/>
    </row>
    <row x14ac:dyDescent="0.25" r="398" customHeight="1" ht="409.5">
      <c r="A398" s="1"/>
      <c r="B398" s="1"/>
    </row>
    <row x14ac:dyDescent="0.25" r="399" customHeight="1" ht="409.5">
      <c r="A399" s="1"/>
      <c r="B399" s="1"/>
    </row>
    <row x14ac:dyDescent="0.25" r="400" customHeight="1" ht="409.5">
      <c r="A400" s="1"/>
      <c r="B400" s="1"/>
    </row>
    <row x14ac:dyDescent="0.25" r="401" customHeight="1" ht="409.5">
      <c r="A401" s="1"/>
      <c r="B401" s="1"/>
    </row>
    <row x14ac:dyDescent="0.25" r="402" customHeight="1" ht="409.5">
      <c r="A402" s="1"/>
      <c r="B402" s="1"/>
    </row>
    <row x14ac:dyDescent="0.25" r="403" customHeight="1" ht="409.5">
      <c r="A403" s="1"/>
      <c r="B403" s="1"/>
    </row>
    <row x14ac:dyDescent="0.25" r="404" customHeight="1" ht="409.5">
      <c r="A404" s="1"/>
      <c r="B404" s="1"/>
    </row>
    <row x14ac:dyDescent="0.25" r="405" customHeight="1" ht="409.5">
      <c r="A405" s="1"/>
      <c r="B405" s="1"/>
    </row>
    <row x14ac:dyDescent="0.25" r="406" customHeight="1" ht="409.5">
      <c r="A406" s="1"/>
      <c r="B406" s="1"/>
    </row>
    <row x14ac:dyDescent="0.25" r="407" customHeight="1" ht="409.5">
      <c r="A407" s="1"/>
      <c r="B407" s="1"/>
    </row>
    <row x14ac:dyDescent="0.25" r="408" customHeight="1" ht="409.5">
      <c r="A408" s="1"/>
      <c r="B408" s="1"/>
    </row>
    <row x14ac:dyDescent="0.25" r="409" customHeight="1" ht="409.5">
      <c r="A409" s="1"/>
      <c r="B409" s="1"/>
    </row>
    <row x14ac:dyDescent="0.25" r="410" customHeight="1" ht="409.5">
      <c r="A410" s="1"/>
      <c r="B410" s="1"/>
    </row>
    <row x14ac:dyDescent="0.25" r="411" customHeight="1" ht="409.5">
      <c r="A411" s="1"/>
      <c r="B411" s="1"/>
    </row>
    <row x14ac:dyDescent="0.25" r="412" customHeight="1" ht="409.5">
      <c r="A412" s="1"/>
      <c r="B412" s="1"/>
    </row>
    <row x14ac:dyDescent="0.25" r="413" customHeight="1" ht="409.5">
      <c r="A413" s="1"/>
      <c r="B413" s="1"/>
    </row>
    <row x14ac:dyDescent="0.25" r="414" customHeight="1" ht="409.5">
      <c r="A414" s="1"/>
      <c r="B414" s="1"/>
    </row>
    <row x14ac:dyDescent="0.25" r="415" customHeight="1" ht="409.5">
      <c r="A415" s="1"/>
      <c r="B415" s="1"/>
    </row>
    <row x14ac:dyDescent="0.25" r="416" customHeight="1" ht="409.5">
      <c r="A416" s="1"/>
      <c r="B416" s="1"/>
    </row>
    <row x14ac:dyDescent="0.25" r="417" customHeight="1" ht="409.5">
      <c r="A417" s="1"/>
      <c r="B417" s="1"/>
    </row>
    <row x14ac:dyDescent="0.25" r="418" customHeight="1" ht="409.5">
      <c r="A418" s="1"/>
      <c r="B418" s="1"/>
    </row>
    <row x14ac:dyDescent="0.25" r="419" customHeight="1" ht="409.5">
      <c r="A419" s="1"/>
      <c r="B419" s="1"/>
    </row>
    <row x14ac:dyDescent="0.25" r="420" customHeight="1" ht="409.5">
      <c r="A420" s="1"/>
      <c r="B420" s="1"/>
    </row>
    <row x14ac:dyDescent="0.25" r="421" customHeight="1" ht="409.5">
      <c r="A421" s="1"/>
      <c r="B421" s="1"/>
    </row>
    <row x14ac:dyDescent="0.25" r="422" customHeight="1" ht="409.5">
      <c r="A422" s="1"/>
      <c r="B422" s="1"/>
    </row>
    <row x14ac:dyDescent="0.25" r="423" customHeight="1" ht="409.5">
      <c r="A423" s="1"/>
      <c r="B423" s="1"/>
    </row>
    <row x14ac:dyDescent="0.25" r="424" customHeight="1" ht="409.5">
      <c r="A424" s="1"/>
      <c r="B4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1"/>
  <sheetViews>
    <sheetView workbookViewId="0"/>
  </sheetViews>
  <sheetFormatPr defaultRowHeight="15" x14ac:dyDescent="0.25"/>
  <cols>
    <col min="1" max="1" style="9" width="3.7192857142857143" customWidth="1" bestFit="1"/>
    <col min="2" max="2" style="524" width="9.147857142857141" customWidth="1" bestFit="1"/>
    <col min="3" max="3" style="9" width="88.57642857142856" customWidth="1" bestFit="1"/>
  </cols>
  <sheetData>
    <row x14ac:dyDescent="0.25" r="1" customHeight="1" ht="18.75">
      <c r="A1" s="1"/>
      <c r="B1" s="38"/>
      <c r="C1" s="505" t="s">
        <v>475</v>
      </c>
    </row>
    <row x14ac:dyDescent="0.25" r="2" customHeight="1" ht="18.75">
      <c r="A2" s="1"/>
      <c r="B2" s="38"/>
      <c r="C2" s="506"/>
    </row>
    <row x14ac:dyDescent="0.25" r="3" customHeight="1" ht="18.75">
      <c r="A3" s="1"/>
      <c r="B3" s="38"/>
      <c r="C3" s="506"/>
    </row>
    <row x14ac:dyDescent="0.25" r="4" customHeight="1" ht="21.75">
      <c r="A4" s="1"/>
      <c r="B4" s="507" t="s">
        <v>476</v>
      </c>
      <c r="C4" s="508"/>
    </row>
    <row x14ac:dyDescent="0.25" r="5" customHeight="1" ht="18.75">
      <c r="A5" s="1"/>
      <c r="B5" s="38"/>
      <c r="C5" s="12"/>
    </row>
    <row x14ac:dyDescent="0.25" r="6" customHeight="1" ht="13.9" customFormat="1" s="509">
      <c r="A6" s="510"/>
      <c r="B6" s="511" t="s">
        <v>477</v>
      </c>
      <c r="C6" s="512"/>
    </row>
    <row x14ac:dyDescent="0.25" r="7" customHeight="1" ht="27.600000000000005" customFormat="1" s="509">
      <c r="A7" s="510"/>
      <c r="B7" s="513"/>
      <c r="C7" s="512"/>
    </row>
    <row x14ac:dyDescent="0.25" r="8" customHeight="1" ht="36.6" customFormat="1" s="509">
      <c r="A8" s="510"/>
      <c r="B8" s="513"/>
      <c r="C8" s="512"/>
    </row>
    <row x14ac:dyDescent="0.25" r="9" customHeight="1" ht="18.75">
      <c r="A9" s="1"/>
      <c r="B9" s="38"/>
      <c r="C9" s="12"/>
    </row>
    <row x14ac:dyDescent="0.25" r="10" customHeight="1" ht="18.75">
      <c r="A10" s="1"/>
      <c r="B10" s="514" t="s">
        <v>478</v>
      </c>
      <c r="C10" s="12"/>
    </row>
    <row x14ac:dyDescent="0.25" r="11" customHeight="1" ht="8.45">
      <c r="A11" s="1"/>
      <c r="B11" s="514"/>
      <c r="C11" s="12"/>
    </row>
    <row x14ac:dyDescent="0.25" r="12" customHeight="1" ht="18.75">
      <c r="A12" s="1"/>
      <c r="B12" s="515" t="s">
        <v>479</v>
      </c>
      <c r="C12" s="516"/>
    </row>
    <row x14ac:dyDescent="0.25" r="13" customHeight="1" ht="18.75">
      <c r="A13" s="1"/>
      <c r="B13" s="515" t="s">
        <v>480</v>
      </c>
      <c r="C13" s="516"/>
    </row>
    <row x14ac:dyDescent="0.25" r="14" customHeight="1" ht="12.75" customFormat="1" s="509">
      <c r="A14" s="510"/>
      <c r="B14" s="517" t="s">
        <v>481</v>
      </c>
      <c r="C14" s="518"/>
    </row>
    <row x14ac:dyDescent="0.25" r="15" customHeight="1" ht="12.75" customFormat="1" s="509">
      <c r="A15" s="510"/>
      <c r="B15" s="517" t="s">
        <v>482</v>
      </c>
      <c r="C15" s="518"/>
    </row>
    <row x14ac:dyDescent="0.25" r="16" customHeight="1" ht="8.45">
      <c r="A16" s="1"/>
      <c r="B16" s="514"/>
      <c r="C16" s="12"/>
    </row>
    <row x14ac:dyDescent="0.25" r="17" customHeight="1" ht="18.75">
      <c r="A17" s="1"/>
      <c r="B17" s="514" t="s">
        <v>483</v>
      </c>
      <c r="C17" s="12"/>
    </row>
    <row x14ac:dyDescent="0.25" r="18" customHeight="1" ht="18.75">
      <c r="A18" s="1"/>
      <c r="B18" s="514"/>
      <c r="C18" s="12"/>
    </row>
    <row x14ac:dyDescent="0.25" r="19" customHeight="1" ht="40.5">
      <c r="A19" s="1"/>
      <c r="B19" s="519">
        <v>1</v>
      </c>
      <c r="C19" s="520" t="s">
        <v>484</v>
      </c>
    </row>
    <row x14ac:dyDescent="0.25" r="20" customHeight="1" ht="8.45">
      <c r="A20" s="1"/>
      <c r="B20" s="514"/>
      <c r="C20" s="12"/>
    </row>
    <row x14ac:dyDescent="0.25" r="21" customHeight="1" ht="22.899999999999995">
      <c r="A21" s="1"/>
      <c r="B21" s="519">
        <v>2</v>
      </c>
      <c r="C21" s="520" t="s">
        <v>485</v>
      </c>
    </row>
    <row x14ac:dyDescent="0.25" r="22" customHeight="1" ht="6.599999999999999">
      <c r="A22" s="1"/>
      <c r="B22" s="514"/>
      <c r="C22" s="12"/>
    </row>
    <row x14ac:dyDescent="0.25" r="23" customHeight="1" ht="40.5">
      <c r="A23" s="1"/>
      <c r="B23" s="519">
        <v>3</v>
      </c>
      <c r="C23" s="520" t="s">
        <v>486</v>
      </c>
    </row>
    <row x14ac:dyDescent="0.25" r="24" customHeight="1" ht="6.599999999999999">
      <c r="A24" s="1"/>
      <c r="B24" s="521"/>
      <c r="C24" s="522"/>
    </row>
    <row x14ac:dyDescent="0.25" r="25" customHeight="1" ht="25.5">
      <c r="A25" s="1"/>
      <c r="B25" s="519">
        <v>4</v>
      </c>
      <c r="C25" s="520" t="s">
        <v>487</v>
      </c>
    </row>
    <row x14ac:dyDescent="0.25" r="26" customHeight="1" ht="6.599999999999999">
      <c r="A26" s="1"/>
      <c r="B26" s="521"/>
      <c r="C26" s="522"/>
    </row>
    <row x14ac:dyDescent="0.25" r="27" customHeight="1" ht="25.5">
      <c r="A27" s="1"/>
      <c r="B27" s="519">
        <v>5</v>
      </c>
      <c r="C27" s="520" t="s">
        <v>488</v>
      </c>
    </row>
    <row x14ac:dyDescent="0.25" r="28" customHeight="1" ht="6.599999999999999">
      <c r="A28" s="1"/>
      <c r="B28" s="521"/>
      <c r="C28" s="522"/>
    </row>
    <row x14ac:dyDescent="0.25" r="29" customHeight="1" ht="25.5">
      <c r="A29" s="1"/>
      <c r="B29" s="519">
        <v>6</v>
      </c>
      <c r="C29" s="520" t="s">
        <v>489</v>
      </c>
    </row>
    <row x14ac:dyDescent="0.25" r="30" customHeight="1" ht="6.599999999999999">
      <c r="A30" s="1"/>
      <c r="B30" s="521"/>
      <c r="C30" s="12"/>
    </row>
    <row x14ac:dyDescent="0.25" r="31" customHeight="1" ht="25.5">
      <c r="A31" s="1"/>
      <c r="B31" s="519">
        <v>7</v>
      </c>
      <c r="C31" s="520" t="s">
        <v>490</v>
      </c>
    </row>
    <row x14ac:dyDescent="0.25" r="32" customHeight="1" ht="6.599999999999999">
      <c r="A32" s="1"/>
      <c r="B32" s="38"/>
      <c r="C32" s="12"/>
    </row>
    <row x14ac:dyDescent="0.25" r="33" customHeight="1" ht="25.5">
      <c r="A33" s="1"/>
      <c r="B33" s="519">
        <v>8</v>
      </c>
      <c r="C33" s="520" t="s">
        <v>491</v>
      </c>
    </row>
    <row x14ac:dyDescent="0.25" r="34" customHeight="1" ht="6.599999999999999">
      <c r="A34" s="1"/>
      <c r="B34" s="38"/>
      <c r="C34" s="12"/>
    </row>
    <row x14ac:dyDescent="0.25" r="35" customHeight="1" ht="40.5">
      <c r="A35" s="1"/>
      <c r="B35" s="519">
        <v>9</v>
      </c>
      <c r="C35" s="520" t="s">
        <v>492</v>
      </c>
    </row>
    <row x14ac:dyDescent="0.25" r="36" customHeight="1" ht="6.599999999999999">
      <c r="A36" s="1"/>
      <c r="B36" s="38"/>
      <c r="C36" s="12"/>
    </row>
    <row x14ac:dyDescent="0.25" r="37" customHeight="1" ht="25.5">
      <c r="A37" s="1"/>
      <c r="B37" s="519">
        <v>10</v>
      </c>
      <c r="C37" s="520" t="s">
        <v>493</v>
      </c>
    </row>
    <row x14ac:dyDescent="0.25" r="38" customHeight="1" ht="6.599999999999999">
      <c r="A38" s="1"/>
      <c r="B38" s="38"/>
      <c r="C38" s="12"/>
    </row>
    <row x14ac:dyDescent="0.25" r="39" customHeight="1" ht="57">
      <c r="A39" s="1"/>
      <c r="B39" s="519">
        <v>11</v>
      </c>
      <c r="C39" s="520" t="s">
        <v>494</v>
      </c>
    </row>
    <row x14ac:dyDescent="0.25" r="40" customHeight="1" ht="6.599999999999999">
      <c r="A40" s="1"/>
      <c r="B40" s="38"/>
      <c r="C40" s="12"/>
    </row>
    <row x14ac:dyDescent="0.25" r="41" customHeight="1" ht="25.5">
      <c r="A41" s="1"/>
      <c r="B41" s="519">
        <v>12</v>
      </c>
      <c r="C41" s="520" t="s">
        <v>495</v>
      </c>
    </row>
    <row x14ac:dyDescent="0.25" r="42" customHeight="1" ht="6.599999999999999">
      <c r="A42" s="1"/>
      <c r="B42" s="38"/>
      <c r="C42" s="12"/>
    </row>
    <row x14ac:dyDescent="0.25" r="43" customHeight="1" ht="18.75">
      <c r="A43" s="1"/>
      <c r="B43" s="523">
        <v>13</v>
      </c>
      <c r="C43" s="520" t="s">
        <v>496</v>
      </c>
    </row>
    <row x14ac:dyDescent="0.25" r="44" customHeight="1" ht="6.599999999999999">
      <c r="A44" s="1"/>
      <c r="B44" s="38"/>
      <c r="C44" s="12"/>
    </row>
    <row x14ac:dyDescent="0.25" r="45" customHeight="1" ht="18.75">
      <c r="A45" s="1"/>
      <c r="B45" s="519">
        <v>14</v>
      </c>
      <c r="C45" s="520" t="s">
        <v>497</v>
      </c>
    </row>
    <row x14ac:dyDescent="0.25" r="46" customHeight="1" ht="6.599999999999999">
      <c r="A46" s="1"/>
      <c r="B46" s="38"/>
      <c r="C46" s="12"/>
    </row>
    <row x14ac:dyDescent="0.25" r="47" customHeight="1" ht="18.75">
      <c r="A47" s="1"/>
      <c r="B47" s="519">
        <v>15</v>
      </c>
      <c r="C47" s="520" t="s">
        <v>498</v>
      </c>
    </row>
    <row x14ac:dyDescent="0.25" r="48" customHeight="1" ht="6.599999999999999">
      <c r="A48" s="1"/>
      <c r="B48" s="38"/>
      <c r="C48" s="12"/>
    </row>
    <row x14ac:dyDescent="0.25" r="49" customHeight="1" ht="18.75">
      <c r="A49" s="1"/>
      <c r="B49" s="519">
        <v>16</v>
      </c>
      <c r="C49" s="520" t="s">
        <v>499</v>
      </c>
    </row>
    <row x14ac:dyDescent="0.25" r="50" customHeight="1" ht="6.599999999999999">
      <c r="A50" s="1"/>
      <c r="B50" s="38"/>
      <c r="C50" s="12"/>
    </row>
    <row x14ac:dyDescent="0.25" r="51" customHeight="1" ht="18.75">
      <c r="A51" s="1"/>
      <c r="B51" s="519" t="s">
        <v>500</v>
      </c>
      <c r="C51" s="520" t="s">
        <v>501</v>
      </c>
    </row>
  </sheetData>
  <mergeCells count="7">
    <mergeCell ref="C1:C3"/>
    <mergeCell ref="B4:C4"/>
    <mergeCell ref="B6:C8"/>
    <mergeCell ref="B12:C12"/>
    <mergeCell ref="B13:C13"/>
    <mergeCell ref="B14:C14"/>
    <mergeCell ref="B15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52"/>
  <sheetViews>
    <sheetView workbookViewId="0"/>
  </sheetViews>
  <sheetFormatPr defaultRowHeight="15" x14ac:dyDescent="0.25"/>
  <cols>
    <col min="1" max="1" style="9" width="39.71928571428572" customWidth="1" bestFit="1"/>
    <col min="2" max="2" style="503" width="20.14785714285714" customWidth="1" bestFit="1"/>
    <col min="3" max="3" style="504" width="15.719285714285713" customWidth="1" bestFit="1"/>
    <col min="4" max="4" style="9" width="16.433571428571426" customWidth="1" bestFit="1"/>
    <col min="5" max="5" style="9" width="13.719285714285713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</cols>
  <sheetData>
    <row x14ac:dyDescent="0.25" r="1" customHeight="1" ht="18.75">
      <c r="A1" s="449"/>
      <c r="B1" s="450"/>
      <c r="C1" s="451"/>
      <c r="D1" s="452" t="s">
        <v>12</v>
      </c>
      <c r="E1" s="453" t="s">
        <v>428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x14ac:dyDescent="0.25" r="2" customHeight="1" ht="18.75">
      <c r="A2" s="12"/>
      <c r="B2" s="77"/>
      <c r="C2" s="454"/>
      <c r="D2" s="12"/>
      <c r="E2" s="1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x14ac:dyDescent="0.25" r="3" customHeight="1" ht="18.75">
      <c r="A3" s="12"/>
      <c r="B3" s="77"/>
      <c r="C3" s="454"/>
      <c r="D3" s="12"/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x14ac:dyDescent="0.25" r="4" customHeight="1" ht="18.75">
      <c r="A4" s="20" t="s">
        <v>429</v>
      </c>
      <c r="B4" s="254"/>
      <c r="C4" s="455"/>
      <c r="D4" s="20"/>
      <c r="E4" s="2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x14ac:dyDescent="0.25" r="5" customHeight="1" ht="18.75">
      <c r="A5" s="12"/>
      <c r="B5" s="77"/>
      <c r="C5" s="456"/>
      <c r="D5" s="12"/>
      <c r="E5" s="45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x14ac:dyDescent="0.25" r="6" customHeight="1" ht="18.75">
      <c r="A6" s="458" t="s">
        <v>430</v>
      </c>
      <c r="B6" s="459"/>
      <c r="C6" s="460"/>
      <c r="D6" s="458"/>
      <c r="E6" s="45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x14ac:dyDescent="0.25" r="7" customHeight="1" ht="18.75">
      <c r="A7" s="12"/>
      <c r="B7" s="77"/>
      <c r="C7" s="454"/>
      <c r="D7" s="12"/>
      <c r="E7" s="45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x14ac:dyDescent="0.25" r="8" customHeight="1" ht="18.75">
      <c r="A8" s="12"/>
      <c r="B8" s="77"/>
      <c r="C8" s="461"/>
      <c r="D8" s="52"/>
      <c r="E8" s="46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x14ac:dyDescent="0.25" r="9" customHeight="1" ht="18.75">
      <c r="A9" s="123" t="s">
        <v>431</v>
      </c>
      <c r="B9" s="463" t="s">
        <v>432</v>
      </c>
      <c r="C9" s="461"/>
      <c r="D9" s="52"/>
      <c r="E9" s="46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x14ac:dyDescent="0.25" r="10" customHeight="1" ht="18.75">
      <c r="A10" s="12"/>
      <c r="B10" s="77"/>
      <c r="C10" s="461"/>
      <c r="D10" s="52"/>
      <c r="E10" s="46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x14ac:dyDescent="0.25" r="11" customHeight="1" ht="18.75">
      <c r="A11" s="68" t="s">
        <v>433</v>
      </c>
      <c r="B11" s="464">
        <v>2019</v>
      </c>
      <c r="C11" s="465" t="s">
        <v>434</v>
      </c>
      <c r="D11" s="52"/>
      <c r="E11" s="46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x14ac:dyDescent="0.25" r="12" customHeight="1" ht="18.75">
      <c r="A12" s="466" t="s">
        <v>435</v>
      </c>
      <c r="B12" s="467" t="s">
        <v>436</v>
      </c>
      <c r="C12" s="468" t="s">
        <v>58</v>
      </c>
      <c r="D12" s="52"/>
      <c r="E12" s="46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x14ac:dyDescent="0.25" r="13" customHeight="1" ht="18.75">
      <c r="A13" s="239" t="s">
        <v>437</v>
      </c>
      <c r="B13" s="469">
        <v>60</v>
      </c>
      <c r="C13" s="470">
        <f>+B13/30</f>
      </c>
      <c r="D13" s="471" t="s">
        <v>438</v>
      </c>
      <c r="E13" s="46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x14ac:dyDescent="0.25" r="14" customHeight="1" ht="18.75">
      <c r="A14" s="123" t="s">
        <v>439</v>
      </c>
      <c r="B14" s="472">
        <v>30</v>
      </c>
      <c r="C14" s="470">
        <f>+B14/30</f>
      </c>
      <c r="D14" s="473"/>
      <c r="E14" s="46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x14ac:dyDescent="0.25" r="15" customHeight="1" ht="18.75">
      <c r="A15" s="123" t="s">
        <v>440</v>
      </c>
      <c r="B15" s="472">
        <v>60</v>
      </c>
      <c r="C15" s="470">
        <f>+B15/30</f>
      </c>
      <c r="D15" s="473"/>
      <c r="E15" s="46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x14ac:dyDescent="0.25" r="16" customHeight="1" ht="18.75">
      <c r="A16" s="123" t="s">
        <v>441</v>
      </c>
      <c r="B16" s="472">
        <v>1</v>
      </c>
      <c r="C16" s="470">
        <f>+B16</f>
      </c>
      <c r="D16" s="23" t="s">
        <v>442</v>
      </c>
      <c r="E16" s="46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x14ac:dyDescent="0.25" r="17" customHeight="1" ht="18.75">
      <c r="A17" s="12"/>
      <c r="B17" s="77"/>
      <c r="C17" s="461"/>
      <c r="D17" s="52"/>
      <c r="E17" s="46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x14ac:dyDescent="0.25" r="18" customHeight="1" ht="18.75">
      <c r="A18" s="123" t="s">
        <v>443</v>
      </c>
      <c r="B18" s="474">
        <v>0.23</v>
      </c>
      <c r="C18" s="475" t="s">
        <v>444</v>
      </c>
      <c r="D18" s="52"/>
      <c r="E18" s="46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x14ac:dyDescent="0.25" r="19" customHeight="1" ht="18.75">
      <c r="A19" s="123" t="s">
        <v>445</v>
      </c>
      <c r="B19" s="474">
        <v>0.23</v>
      </c>
      <c r="C19" s="476"/>
      <c r="D19" s="52"/>
      <c r="E19" s="46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x14ac:dyDescent="0.25" r="20" customHeight="1" ht="18.75">
      <c r="A20" s="123" t="s">
        <v>446</v>
      </c>
      <c r="B20" s="474">
        <v>0.23</v>
      </c>
      <c r="C20" s="476"/>
      <c r="D20" s="52"/>
      <c r="E20" s="46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x14ac:dyDescent="0.25" r="21" customHeight="1" ht="18.75">
      <c r="A21" s="123" t="s">
        <v>447</v>
      </c>
      <c r="B21" s="474">
        <v>0.23</v>
      </c>
      <c r="C21" s="476"/>
      <c r="D21" s="52"/>
      <c r="E21" s="46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x14ac:dyDescent="0.25" r="22" customHeight="1" ht="18.75">
      <c r="A22" s="123" t="s">
        <v>448</v>
      </c>
      <c r="B22" s="474">
        <v>0.23</v>
      </c>
      <c r="C22" s="476"/>
      <c r="D22" s="52"/>
      <c r="E22" s="46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x14ac:dyDescent="0.25" r="23" customHeight="1" ht="18.75">
      <c r="A23" s="12"/>
      <c r="B23" s="77"/>
      <c r="C23" s="461"/>
      <c r="D23" s="52"/>
      <c r="E23" s="46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x14ac:dyDescent="0.25" r="24" customHeight="1" ht="18.75">
      <c r="A24" s="123" t="s">
        <v>449</v>
      </c>
      <c r="B24" s="474">
        <v>0.2375</v>
      </c>
      <c r="C24" s="477" t="s">
        <v>450</v>
      </c>
      <c r="D24" s="52"/>
      <c r="E24" s="46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x14ac:dyDescent="0.25" r="25" customHeight="1" ht="18.75">
      <c r="A25" s="123" t="s">
        <v>451</v>
      </c>
      <c r="B25" s="474">
        <v>0.2375</v>
      </c>
      <c r="C25" s="478"/>
      <c r="D25" s="52"/>
      <c r="E25" s="46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x14ac:dyDescent="0.25" r="26" customHeight="1" ht="18.75">
      <c r="A26" s="123" t="s">
        <v>452</v>
      </c>
      <c r="B26" s="474">
        <v>0.11</v>
      </c>
      <c r="C26" s="478"/>
      <c r="D26" s="52"/>
      <c r="E26" s="46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x14ac:dyDescent="0.25" r="27" customHeight="1" ht="18.75">
      <c r="A27" s="123" t="s">
        <v>453</v>
      </c>
      <c r="B27" s="474">
        <v>0.11</v>
      </c>
      <c r="C27" s="478"/>
      <c r="D27" s="52"/>
      <c r="E27" s="46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x14ac:dyDescent="0.25" r="28" customHeight="1" ht="18.75">
      <c r="A28" s="123" t="s">
        <v>454</v>
      </c>
      <c r="B28" s="474">
        <v>0.15</v>
      </c>
      <c r="C28" s="465" t="s">
        <v>455</v>
      </c>
      <c r="D28" s="52"/>
      <c r="E28" s="46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x14ac:dyDescent="0.25" r="29" customHeight="1" ht="13.5">
      <c r="A29" s="123" t="s">
        <v>456</v>
      </c>
      <c r="B29" s="474">
        <v>0.21</v>
      </c>
      <c r="C29" s="465" t="s">
        <v>457</v>
      </c>
      <c r="D29" s="52"/>
      <c r="E29" s="46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x14ac:dyDescent="0.25" r="30" customHeight="1" ht="18.75">
      <c r="A30" s="12"/>
      <c r="B30" s="77"/>
      <c r="C30" s="461"/>
      <c r="D30" s="52"/>
      <c r="E30" s="46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x14ac:dyDescent="0.25" r="31" customHeight="1" ht="18.75">
      <c r="A31" s="123" t="s">
        <v>458</v>
      </c>
      <c r="B31" s="474">
        <v>0.005</v>
      </c>
      <c r="C31" s="475" t="s">
        <v>459</v>
      </c>
      <c r="D31" s="52"/>
      <c r="E31" s="46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x14ac:dyDescent="0.25" r="32" customHeight="1" ht="18.75">
      <c r="A32" s="123" t="s">
        <v>460</v>
      </c>
      <c r="B32" s="474">
        <v>0</v>
      </c>
      <c r="C32" s="476"/>
      <c r="D32" s="52"/>
      <c r="E32" s="46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x14ac:dyDescent="0.25" r="33" customHeight="1" ht="18.75">
      <c r="A33" s="123" t="s">
        <v>461</v>
      </c>
      <c r="B33" s="474">
        <v>0</v>
      </c>
      <c r="C33" s="476"/>
      <c r="D33" s="52"/>
      <c r="E33" s="46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x14ac:dyDescent="0.25" r="34" customHeight="1" ht="18.75">
      <c r="A34" s="12"/>
      <c r="B34" s="77"/>
      <c r="C34" s="461"/>
      <c r="D34" s="52"/>
      <c r="E34" s="46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x14ac:dyDescent="0.25" r="35" customHeight="1" ht="18.75">
      <c r="A35" s="123" t="s">
        <v>462</v>
      </c>
      <c r="B35" s="474"/>
      <c r="C35" s="479" t="s">
        <v>463</v>
      </c>
      <c r="D35" s="480"/>
      <c r="E35" s="48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x14ac:dyDescent="0.25" r="36" customHeight="1" ht="18.75">
      <c r="A36" s="123" t="s">
        <v>464</v>
      </c>
      <c r="B36" s="474"/>
      <c r="C36" s="479" t="s">
        <v>465</v>
      </c>
      <c r="D36" s="480"/>
      <c r="E36" s="48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x14ac:dyDescent="0.25" r="37" customHeight="1" ht="18.75">
      <c r="A37" s="123" t="s">
        <v>466</v>
      </c>
      <c r="B37" s="474">
        <v>1</v>
      </c>
      <c r="C37" s="479" t="s">
        <v>467</v>
      </c>
      <c r="D37" s="480"/>
      <c r="E37" s="48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x14ac:dyDescent="0.25" r="38" customHeight="1" ht="12">
      <c r="A38" s="123" t="s">
        <v>468</v>
      </c>
      <c r="B38" s="481">
        <v>0.0001</v>
      </c>
      <c r="C38" s="482" t="s">
        <v>469</v>
      </c>
      <c r="D38" s="483"/>
      <c r="E38" s="48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x14ac:dyDescent="0.25" r="39" customHeight="1" ht="18.75">
      <c r="A39" s="484" t="s">
        <v>470</v>
      </c>
      <c r="B39" s="485"/>
      <c r="C39" s="486"/>
      <c r="D39" s="487"/>
      <c r="E39" s="48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x14ac:dyDescent="0.25" r="40" customHeight="1" ht="18.75">
      <c r="A40" s="36" t="s">
        <v>471</v>
      </c>
      <c r="B40" s="77"/>
      <c r="C40" s="488"/>
      <c r="D40" s="489"/>
      <c r="E40" s="489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x14ac:dyDescent="0.25" r="41" customHeight="1" ht="18.75">
      <c r="A41" s="12"/>
      <c r="B41" s="77"/>
      <c r="C41" s="490"/>
      <c r="D41" s="491"/>
      <c r="E41" s="49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x14ac:dyDescent="0.25" r="42" customHeight="1" ht="18.75">
      <c r="A42" s="12"/>
      <c r="B42" s="77"/>
      <c r="C42" s="490"/>
      <c r="D42" s="491"/>
      <c r="E42" s="49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x14ac:dyDescent="0.25" r="43" customHeight="1" ht="18.75">
      <c r="A43" s="492" t="s">
        <v>472</v>
      </c>
      <c r="B43" s="493" t="s">
        <v>473</v>
      </c>
      <c r="C43" s="494"/>
      <c r="D43" s="495"/>
      <c r="E43" s="49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x14ac:dyDescent="0.25" r="44" customHeight="1" ht="21">
      <c r="A44" s="496" t="s">
        <v>474</v>
      </c>
      <c r="B44" s="497"/>
      <c r="C44" s="498"/>
      <c r="D44" s="496"/>
      <c r="E44" s="49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</row>
    <row x14ac:dyDescent="0.25" r="45" customHeight="1" ht="18.75">
      <c r="A45" s="1"/>
      <c r="B45" s="499"/>
      <c r="C45" s="500"/>
      <c r="D45" s="501"/>
      <c r="E45" s="130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</row>
    <row x14ac:dyDescent="0.25" r="46" customHeight="1" ht="18.75">
      <c r="A46" s="1"/>
      <c r="B46" s="499"/>
      <c r="C46" s="500"/>
      <c r="D46" s="501"/>
      <c r="E46" s="130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</row>
    <row x14ac:dyDescent="0.25" r="47" customHeight="1" ht="18.75">
      <c r="A47" s="1"/>
      <c r="B47" s="499"/>
      <c r="C47" s="500"/>
      <c r="D47" s="501"/>
      <c r="E47" s="130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</row>
    <row x14ac:dyDescent="0.25" r="48" customHeight="1" ht="18.75">
      <c r="A48" s="106"/>
      <c r="B48" s="499"/>
      <c r="C48" s="500"/>
      <c r="D48" s="502"/>
      <c r="E48" s="10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x14ac:dyDescent="0.25" r="49" customHeight="1" ht="18.75">
      <c r="A49" s="106"/>
      <c r="B49" s="499"/>
      <c r="C49" s="500"/>
      <c r="D49" s="106"/>
      <c r="E49" s="106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x14ac:dyDescent="0.25" r="50" customHeight="1" ht="18.75">
      <c r="A50" s="106"/>
      <c r="B50" s="499"/>
      <c r="C50" s="500"/>
      <c r="D50" s="106"/>
      <c r="E50" s="10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x14ac:dyDescent="0.25" r="51" customHeight="1" ht="18.75">
      <c r="A51" s="106"/>
      <c r="B51" s="499"/>
      <c r="C51" s="500"/>
      <c r="D51" s="106"/>
      <c r="E51" s="10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x14ac:dyDescent="0.25" r="52" customHeight="1" ht="18.75">
      <c r="A52" s="106"/>
      <c r="B52" s="499"/>
      <c r="C52" s="500"/>
      <c r="D52" s="106"/>
      <c r="E52" s="10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</sheetData>
  <mergeCells count="12">
    <mergeCell ref="A4:E4"/>
    <mergeCell ref="A6:E6"/>
    <mergeCell ref="D13:D15"/>
    <mergeCell ref="C18:C22"/>
    <mergeCell ref="C24:C27"/>
    <mergeCell ref="C31:C33"/>
    <mergeCell ref="C35:E35"/>
    <mergeCell ref="C36:E36"/>
    <mergeCell ref="C37:E37"/>
    <mergeCell ref="C38:E40"/>
    <mergeCell ref="B43:E43"/>
    <mergeCell ref="A44:E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03"/>
  <sheetViews>
    <sheetView workbookViewId="0"/>
  </sheetViews>
  <sheetFormatPr defaultRowHeight="15" x14ac:dyDescent="0.25"/>
  <cols>
    <col min="1" max="1" style="9" width="37.57642857142857" customWidth="1" bestFit="1"/>
    <col min="2" max="2" style="191" width="7.862142857142857" customWidth="1" bestFit="1"/>
    <col min="3" max="3" style="190" width="13.576428571428572" customWidth="1" bestFit="1"/>
    <col min="4" max="4" style="190" width="13.576428571428572" customWidth="1" bestFit="1"/>
    <col min="5" max="5" style="190" width="13.576428571428572" customWidth="1" bestFit="1"/>
    <col min="6" max="6" style="190" width="13.576428571428572" customWidth="1" bestFit="1"/>
    <col min="7" max="7" style="190" width="13.576428571428572" customWidth="1" bestFit="1"/>
    <col min="8" max="8" style="190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18.75">
      <c r="A1" s="411"/>
      <c r="B1" s="412"/>
      <c r="C1" s="226"/>
      <c r="D1" s="226"/>
      <c r="E1" s="226"/>
      <c r="F1" s="226"/>
      <c r="G1" s="227" t="s">
        <v>12</v>
      </c>
      <c r="H1" s="259">
        <f>+Pressupostos!E1</f>
      </c>
      <c r="I1" s="1"/>
      <c r="J1" s="1"/>
    </row>
    <row x14ac:dyDescent="0.25" r="2" customHeight="1" ht="18.75">
      <c r="A2" s="16" t="s">
        <v>398</v>
      </c>
      <c r="B2" s="280"/>
      <c r="C2" s="226"/>
      <c r="D2" s="226"/>
      <c r="E2" s="226"/>
      <c r="F2" s="226"/>
      <c r="G2" s="226"/>
      <c r="H2" s="30">
        <f>+Pressupostos!B9</f>
      </c>
      <c r="I2" s="1"/>
      <c r="J2" s="1"/>
    </row>
    <row x14ac:dyDescent="0.25" r="3" customHeight="1" ht="18.75">
      <c r="A3" s="16"/>
      <c r="B3" s="280"/>
      <c r="C3" s="226"/>
      <c r="D3" s="226"/>
      <c r="E3" s="226"/>
      <c r="F3" s="226"/>
      <c r="G3" s="226"/>
      <c r="H3" s="30"/>
      <c r="I3" s="1"/>
      <c r="J3" s="1"/>
    </row>
    <row x14ac:dyDescent="0.25" r="4" customHeight="1" ht="18.75">
      <c r="A4" s="20" t="s">
        <v>399</v>
      </c>
      <c r="B4" s="46"/>
      <c r="C4" s="45"/>
      <c r="D4" s="45"/>
      <c r="E4" s="45"/>
      <c r="F4" s="45"/>
      <c r="G4" s="45"/>
      <c r="H4" s="45"/>
      <c r="I4" s="1"/>
      <c r="J4" s="1"/>
    </row>
    <row x14ac:dyDescent="0.25" r="5" customHeight="1" ht="18.75">
      <c r="A5" s="350"/>
      <c r="B5" s="282"/>
      <c r="C5" s="281"/>
      <c r="D5" s="281"/>
      <c r="E5" s="281"/>
      <c r="F5" s="281"/>
      <c r="G5" s="281"/>
      <c r="H5" s="281"/>
      <c r="I5" s="1"/>
      <c r="J5" s="1"/>
    </row>
    <row x14ac:dyDescent="0.25" r="6" customHeight="1" ht="18.75">
      <c r="A6" s="350"/>
      <c r="B6" s="282"/>
      <c r="C6" s="281"/>
      <c r="D6" s="281"/>
      <c r="E6" s="281"/>
      <c r="F6" s="281"/>
      <c r="G6" s="281"/>
      <c r="H6" s="281"/>
      <c r="I6" s="1"/>
      <c r="J6" s="1"/>
    </row>
    <row x14ac:dyDescent="0.25" r="7" customHeight="1" ht="18.75">
      <c r="A7" s="350"/>
      <c r="B7" s="282"/>
      <c r="C7" s="281"/>
      <c r="D7" s="281"/>
      <c r="E7" s="281"/>
      <c r="F7" s="281"/>
      <c r="G7" s="281"/>
      <c r="H7" s="281"/>
      <c r="I7" s="1"/>
      <c r="J7" s="1"/>
    </row>
    <row x14ac:dyDescent="0.25" r="8" customHeight="1" ht="18.75">
      <c r="A8" s="215"/>
      <c r="B8" s="289"/>
      <c r="C8" s="49">
        <f>+Pressupostos!B11</f>
      </c>
      <c r="D8" s="49">
        <f>+C8+1</f>
      </c>
      <c r="E8" s="49">
        <f>+D8+1</f>
      </c>
      <c r="F8" s="49">
        <f>+E8+1</f>
      </c>
      <c r="G8" s="49">
        <f>+F8+1</f>
      </c>
      <c r="H8" s="49">
        <f>+G8+1</f>
      </c>
      <c r="I8" s="1"/>
      <c r="J8" s="1"/>
    </row>
    <row x14ac:dyDescent="0.25" r="9" customHeight="1" ht="18.75">
      <c r="A9" s="215" t="s">
        <v>400</v>
      </c>
      <c r="B9" s="287"/>
      <c r="C9" s="56"/>
      <c r="D9" s="264"/>
      <c r="E9" s="264"/>
      <c r="F9" s="264"/>
      <c r="G9" s="264"/>
      <c r="H9" s="264"/>
      <c r="I9" s="1"/>
      <c r="J9" s="1"/>
    </row>
    <row x14ac:dyDescent="0.25" r="10" customHeight="1" ht="18.75">
      <c r="A10" s="12"/>
      <c r="B10" s="44"/>
      <c r="C10" s="38"/>
      <c r="D10" s="38"/>
      <c r="E10" s="38"/>
      <c r="F10" s="38"/>
      <c r="G10" s="38"/>
      <c r="H10" s="38"/>
      <c r="I10" s="1"/>
      <c r="J10" s="1"/>
    </row>
    <row x14ac:dyDescent="0.25" r="11" customHeight="1" ht="18.75">
      <c r="A11" s="12"/>
      <c r="B11" s="44"/>
      <c r="C11" s="38"/>
      <c r="D11" s="38"/>
      <c r="E11" s="38"/>
      <c r="F11" s="38"/>
      <c r="G11" s="38"/>
      <c r="H11" s="38"/>
      <c r="I11" s="1"/>
      <c r="J11" s="1"/>
    </row>
    <row x14ac:dyDescent="0.25" r="12" customHeight="1" ht="18.75">
      <c r="A12" s="413" t="s">
        <v>401</v>
      </c>
      <c r="B12" s="429"/>
      <c r="C12" s="49">
        <f>+C8</f>
      </c>
      <c r="D12" s="49">
        <f>+D8</f>
      </c>
      <c r="E12" s="49">
        <f>+E8</f>
      </c>
      <c r="F12" s="49">
        <f>+F8</f>
      </c>
      <c r="G12" s="49">
        <f>+G8</f>
      </c>
      <c r="H12" s="49">
        <f>+H8</f>
      </c>
      <c r="I12" s="1"/>
      <c r="J12" s="1"/>
    </row>
    <row x14ac:dyDescent="0.25" r="13" customHeight="1" ht="18.75">
      <c r="A13" s="26" t="s">
        <v>17</v>
      </c>
      <c r="B13" s="430"/>
      <c r="C13" s="431">
        <f>+C16*C14</f>
      </c>
      <c r="D13" s="431">
        <f>+D16*D14</f>
      </c>
      <c r="E13" s="431">
        <f>+E16*E14</f>
      </c>
      <c r="F13" s="431">
        <f>+F16*F14</f>
      </c>
      <c r="G13" s="431">
        <f>+G16*G14</f>
      </c>
      <c r="H13" s="431">
        <f>+H16*H14</f>
      </c>
      <c r="I13" s="1"/>
      <c r="J13" s="1"/>
    </row>
    <row x14ac:dyDescent="0.25" r="14" customHeight="1" ht="18.75">
      <c r="A14" s="123" t="s">
        <v>402</v>
      </c>
      <c r="B14" s="432"/>
      <c r="C14" s="433"/>
      <c r="D14" s="235">
        <f>+C14*(1+D15)</f>
      </c>
      <c r="E14" s="235">
        <f>+D14*(1+E15)</f>
      </c>
      <c r="F14" s="235">
        <f>+E14*(1+F15)</f>
      </c>
      <c r="G14" s="235">
        <f>+F14*(1+G15)</f>
      </c>
      <c r="H14" s="235">
        <f>+G14*(1+H15)</f>
      </c>
      <c r="I14" s="1"/>
      <c r="J14" s="1"/>
    </row>
    <row x14ac:dyDescent="0.25" r="15" customHeight="1" ht="18.75">
      <c r="A15" s="123" t="s">
        <v>403</v>
      </c>
      <c r="B15" s="432"/>
      <c r="C15" s="434"/>
      <c r="D15" s="435"/>
      <c r="E15" s="435"/>
      <c r="F15" s="435"/>
      <c r="G15" s="435"/>
      <c r="H15" s="435"/>
      <c r="I15" s="1"/>
      <c r="J15" s="1"/>
    </row>
    <row x14ac:dyDescent="0.25" r="16" customHeight="1" ht="18.75">
      <c r="A16" s="123" t="s">
        <v>404</v>
      </c>
      <c r="B16" s="432"/>
      <c r="C16" s="436"/>
      <c r="D16" s="256">
        <f>+C16*(1+D9)</f>
      </c>
      <c r="E16" s="256">
        <f>+D16*(1+E9)</f>
      </c>
      <c r="F16" s="256">
        <f>+E16*(1+F9)</f>
      </c>
      <c r="G16" s="256">
        <f>+F16*(1+G9)</f>
      </c>
      <c r="H16" s="256">
        <f>+G16*(1+H9)</f>
      </c>
      <c r="I16" s="1"/>
      <c r="J16" s="1"/>
    </row>
    <row x14ac:dyDescent="0.25" r="17" customHeight="1" ht="18.75">
      <c r="A17" s="26" t="s">
        <v>18</v>
      </c>
      <c r="B17" s="430"/>
      <c r="C17" s="431">
        <f>+C20*C18</f>
      </c>
      <c r="D17" s="431">
        <f>+D20*D18</f>
      </c>
      <c r="E17" s="431">
        <f>+E20*E18</f>
      </c>
      <c r="F17" s="431">
        <f>+F20*F18</f>
      </c>
      <c r="G17" s="431">
        <f>+G20*G18</f>
      </c>
      <c r="H17" s="431">
        <f>+H20*H18</f>
      </c>
      <c r="I17" s="1"/>
      <c r="J17" s="1"/>
    </row>
    <row x14ac:dyDescent="0.25" r="18" customHeight="1" ht="18.75">
      <c r="A18" s="123" t="s">
        <v>402</v>
      </c>
      <c r="B18" s="432"/>
      <c r="C18" s="433"/>
      <c r="D18" s="235">
        <f>+C18*(1+D19)</f>
      </c>
      <c r="E18" s="235">
        <f>+D18*(1+E19)</f>
      </c>
      <c r="F18" s="235">
        <f>+E18*(1+F19)</f>
      </c>
      <c r="G18" s="235">
        <f>+F18*(1+G19)</f>
      </c>
      <c r="H18" s="235">
        <f>+G18*(1+H19)</f>
      </c>
      <c r="I18" s="1"/>
      <c r="J18" s="1"/>
    </row>
    <row x14ac:dyDescent="0.25" r="19" customHeight="1" ht="18.75">
      <c r="A19" s="123" t="s">
        <v>403</v>
      </c>
      <c r="B19" s="432"/>
      <c r="C19" s="434"/>
      <c r="D19" s="435"/>
      <c r="E19" s="435"/>
      <c r="F19" s="435"/>
      <c r="G19" s="435"/>
      <c r="H19" s="435"/>
      <c r="I19" s="1"/>
      <c r="J19" s="1"/>
    </row>
    <row x14ac:dyDescent="0.25" r="20" customHeight="1" ht="18.75">
      <c r="A20" s="123" t="s">
        <v>404</v>
      </c>
      <c r="B20" s="432"/>
      <c r="C20" s="436"/>
      <c r="D20" s="256">
        <f>+C20*(1+D9)</f>
      </c>
      <c r="E20" s="256">
        <f>+D20*(1+E9)</f>
      </c>
      <c r="F20" s="256">
        <f>+E20*(1+F9)</f>
      </c>
      <c r="G20" s="256">
        <f>+F20*(1+G9)</f>
      </c>
      <c r="H20" s="256">
        <f>+G20*(1+H9)</f>
      </c>
      <c r="I20" s="1"/>
      <c r="J20" s="1"/>
    </row>
    <row x14ac:dyDescent="0.25" r="21" customHeight="1" ht="18.75">
      <c r="A21" s="26" t="s">
        <v>405</v>
      </c>
      <c r="B21" s="430"/>
      <c r="C21" s="431">
        <f>+C24*C22</f>
      </c>
      <c r="D21" s="431">
        <f>+D24*D22</f>
      </c>
      <c r="E21" s="431">
        <f>+E24*E22</f>
      </c>
      <c r="F21" s="431">
        <f>+F24*F22</f>
      </c>
      <c r="G21" s="431">
        <f>+G24*G22</f>
      </c>
      <c r="H21" s="431">
        <f>+H24*H22</f>
      </c>
      <c r="I21" s="1"/>
      <c r="J21" s="1"/>
    </row>
    <row x14ac:dyDescent="0.25" r="22" customHeight="1" ht="18.75">
      <c r="A22" s="123" t="s">
        <v>402</v>
      </c>
      <c r="B22" s="432"/>
      <c r="C22" s="433"/>
      <c r="D22" s="235">
        <f>+C22*(1+D23)</f>
      </c>
      <c r="E22" s="235">
        <f>+D22*(1+E23)</f>
      </c>
      <c r="F22" s="235">
        <f>+E22*(1+F23)</f>
      </c>
      <c r="G22" s="235">
        <f>+F22*(1+G23)</f>
      </c>
      <c r="H22" s="235">
        <f>+G22*(1+H23)</f>
      </c>
      <c r="I22" s="1"/>
      <c r="J22" s="1"/>
    </row>
    <row x14ac:dyDescent="0.25" r="23" customHeight="1" ht="18.75">
      <c r="A23" s="123" t="s">
        <v>403</v>
      </c>
      <c r="B23" s="432"/>
      <c r="C23" s="434"/>
      <c r="D23" s="435"/>
      <c r="E23" s="435"/>
      <c r="F23" s="435"/>
      <c r="G23" s="435"/>
      <c r="H23" s="435"/>
      <c r="I23" s="1"/>
      <c r="J23" s="1"/>
    </row>
    <row x14ac:dyDescent="0.25" r="24" customHeight="1" ht="18.75">
      <c r="A24" s="123" t="s">
        <v>404</v>
      </c>
      <c r="B24" s="432"/>
      <c r="C24" s="436"/>
      <c r="D24" s="256">
        <f>+C24*(1+D9)</f>
      </c>
      <c r="E24" s="256">
        <f>+D24*(1+E9)</f>
      </c>
      <c r="F24" s="256">
        <f>+E24*(1+F9)</f>
      </c>
      <c r="G24" s="256">
        <f>+F24*(1+G9)</f>
      </c>
      <c r="H24" s="256">
        <f>+G24*(1+H9)</f>
      </c>
      <c r="I24" s="1"/>
      <c r="J24" s="1"/>
    </row>
    <row x14ac:dyDescent="0.25" r="25" customHeight="1" ht="18.75">
      <c r="A25" s="26" t="s">
        <v>406</v>
      </c>
      <c r="B25" s="430"/>
      <c r="C25" s="431">
        <f>+C28*C26</f>
      </c>
      <c r="D25" s="431">
        <f>+D28*D26</f>
      </c>
      <c r="E25" s="431">
        <f>+E28*E26</f>
      </c>
      <c r="F25" s="431">
        <f>+F28*F26</f>
      </c>
      <c r="G25" s="431">
        <f>+G28*G26</f>
      </c>
      <c r="H25" s="431">
        <f>+H28*H26</f>
      </c>
      <c r="I25" s="1"/>
      <c r="J25" s="1"/>
    </row>
    <row x14ac:dyDescent="0.25" r="26" customHeight="1" ht="18.75">
      <c r="A26" s="123" t="s">
        <v>402</v>
      </c>
      <c r="B26" s="432"/>
      <c r="C26" s="433"/>
      <c r="D26" s="235">
        <f>+C26*(1+D27)</f>
      </c>
      <c r="E26" s="235">
        <f>+D26*(1+E27)</f>
      </c>
      <c r="F26" s="235">
        <f>+E26*(1+F27)</f>
      </c>
      <c r="G26" s="235">
        <f>+F26*(1+G27)</f>
      </c>
      <c r="H26" s="235">
        <f>+G26*(1+H27)</f>
      </c>
      <c r="I26" s="1"/>
      <c r="J26" s="1"/>
    </row>
    <row x14ac:dyDescent="0.25" r="27" customHeight="1" ht="18.75">
      <c r="A27" s="123" t="s">
        <v>403</v>
      </c>
      <c r="B27" s="432"/>
      <c r="C27" s="434"/>
      <c r="D27" s="435"/>
      <c r="E27" s="435"/>
      <c r="F27" s="435"/>
      <c r="G27" s="435"/>
      <c r="H27" s="435"/>
      <c r="I27" s="1"/>
      <c r="J27" s="1"/>
    </row>
    <row x14ac:dyDescent="0.25" r="28" customHeight="1" ht="18.75">
      <c r="A28" s="123" t="s">
        <v>404</v>
      </c>
      <c r="B28" s="432"/>
      <c r="C28" s="436"/>
      <c r="D28" s="256">
        <f>+C28*(1+D9)</f>
      </c>
      <c r="E28" s="256">
        <f>+D28*(1+E9)</f>
      </c>
      <c r="F28" s="256">
        <f>+E28*(1+F9)</f>
      </c>
      <c r="G28" s="256">
        <f>+F28*(1+G9)</f>
      </c>
      <c r="H28" s="256">
        <f>+G28*(1+H9)</f>
      </c>
      <c r="I28" s="1"/>
      <c r="J28" s="1"/>
    </row>
    <row x14ac:dyDescent="0.25" r="29" customHeight="1" ht="18.75">
      <c r="A29" s="418" t="s">
        <v>224</v>
      </c>
      <c r="B29" s="419"/>
      <c r="C29" s="220">
        <f>+C13+C17+C21+C25</f>
      </c>
      <c r="D29" s="220">
        <f>+D13+D17+D21+D25</f>
      </c>
      <c r="E29" s="220">
        <f>+E13+E17+E21+E25</f>
      </c>
      <c r="F29" s="220">
        <f>+F13+F17+F21+F25</f>
      </c>
      <c r="G29" s="220">
        <f>+G13+G17+G21+G25</f>
      </c>
      <c r="H29" s="220">
        <f>+H13+H17+H21+H25</f>
      </c>
      <c r="I29" s="1"/>
      <c r="J29" s="1"/>
    </row>
    <row x14ac:dyDescent="0.25" r="30" customHeight="1" ht="18.75">
      <c r="A30" s="420"/>
      <c r="B30" s="421"/>
      <c r="C30" s="62"/>
      <c r="D30" s="62"/>
      <c r="E30" s="62"/>
      <c r="F30" s="62"/>
      <c r="G30" s="62"/>
      <c r="H30" s="62"/>
      <c r="I30" s="1"/>
      <c r="J30" s="1"/>
    </row>
    <row x14ac:dyDescent="0.25" r="31" customHeight="1" ht="18.75">
      <c r="A31" s="420"/>
      <c r="B31" s="421"/>
      <c r="C31" s="62"/>
      <c r="D31" s="62"/>
      <c r="E31" s="62"/>
      <c r="F31" s="62"/>
      <c r="G31" s="62"/>
      <c r="H31" s="62"/>
      <c r="I31" s="1"/>
      <c r="J31" s="1"/>
    </row>
    <row x14ac:dyDescent="0.25" r="32" customHeight="1" ht="18.75">
      <c r="A32" s="413" t="s">
        <v>407</v>
      </c>
      <c r="B32" s="429"/>
      <c r="C32" s="49">
        <f>+C8</f>
      </c>
      <c r="D32" s="49">
        <f>+D8</f>
      </c>
      <c r="E32" s="49">
        <f>+E8</f>
      </c>
      <c r="F32" s="49">
        <f>+F8</f>
      </c>
      <c r="G32" s="49">
        <f>+G8</f>
      </c>
      <c r="H32" s="49">
        <f>+H8</f>
      </c>
      <c r="I32" s="1"/>
      <c r="J32" s="1"/>
    </row>
    <row x14ac:dyDescent="0.25" r="33" customHeight="1" ht="18.75">
      <c r="A33" s="437">
        <f>A13</f>
      </c>
      <c r="B33" s="430"/>
      <c r="C33" s="431">
        <f>+C36*C34</f>
      </c>
      <c r="D33" s="431">
        <f>+D36*D34</f>
      </c>
      <c r="E33" s="431">
        <f>+E36*E34</f>
      </c>
      <c r="F33" s="431">
        <f>+F36*F34</f>
      </c>
      <c r="G33" s="431">
        <f>+G36*G34</f>
      </c>
      <c r="H33" s="431">
        <f>+H36*H34</f>
      </c>
      <c r="I33" s="1"/>
      <c r="J33" s="1"/>
    </row>
    <row x14ac:dyDescent="0.25" r="34" customHeight="1" ht="18.75">
      <c r="A34" s="123" t="s">
        <v>402</v>
      </c>
      <c r="B34" s="432"/>
      <c r="C34" s="433"/>
      <c r="D34" s="235">
        <f>+C34*(1+D35)</f>
      </c>
      <c r="E34" s="235">
        <f>+D34*(1+E35)</f>
      </c>
      <c r="F34" s="235">
        <f>+E34*(1+F35)</f>
      </c>
      <c r="G34" s="235">
        <f>+F34*(1+G35)</f>
      </c>
      <c r="H34" s="235">
        <f>+G34*(1+H35)</f>
      </c>
      <c r="I34" s="1"/>
      <c r="J34" s="1"/>
    </row>
    <row x14ac:dyDescent="0.25" r="35" customHeight="1" ht="18.75">
      <c r="A35" s="123" t="s">
        <v>403</v>
      </c>
      <c r="B35" s="432"/>
      <c r="C35" s="434"/>
      <c r="D35" s="435"/>
      <c r="E35" s="435"/>
      <c r="F35" s="435"/>
      <c r="G35" s="435"/>
      <c r="H35" s="435"/>
      <c r="I35" s="1"/>
      <c r="J35" s="1"/>
    </row>
    <row x14ac:dyDescent="0.25" r="36" customHeight="1" ht="18.75">
      <c r="A36" s="123" t="s">
        <v>404</v>
      </c>
      <c r="B36" s="432"/>
      <c r="C36" s="436"/>
      <c r="D36" s="256">
        <f>+C36*(1+D9)</f>
      </c>
      <c r="E36" s="256">
        <f>+D36*(1+E9)</f>
      </c>
      <c r="F36" s="256">
        <f>+E36*(1+F9)</f>
      </c>
      <c r="G36" s="256">
        <f>+F36*(1+G9)</f>
      </c>
      <c r="H36" s="256">
        <f>+G36*(1+H9)</f>
      </c>
      <c r="I36" s="1"/>
      <c r="J36" s="1"/>
    </row>
    <row x14ac:dyDescent="0.25" r="37" customHeight="1" ht="18.75">
      <c r="A37" s="437">
        <f>A17</f>
      </c>
      <c r="B37" s="430"/>
      <c r="C37" s="431">
        <f>+C40*C38</f>
      </c>
      <c r="D37" s="431">
        <f>+D40*D38</f>
      </c>
      <c r="E37" s="431">
        <f>+E40*E38</f>
      </c>
      <c r="F37" s="431">
        <f>+F40*F38</f>
      </c>
      <c r="G37" s="431">
        <f>+G40*G38</f>
      </c>
      <c r="H37" s="431">
        <f>+H40*H38</f>
      </c>
      <c r="I37" s="1"/>
      <c r="J37" s="1"/>
    </row>
    <row x14ac:dyDescent="0.25" r="38" customHeight="1" ht="18.75">
      <c r="A38" s="123" t="s">
        <v>402</v>
      </c>
      <c r="B38" s="432"/>
      <c r="C38" s="433"/>
      <c r="D38" s="235">
        <f>+C38*(1+D39)</f>
      </c>
      <c r="E38" s="235">
        <f>+D38*(1+E39)</f>
      </c>
      <c r="F38" s="235">
        <f>+E38*(1+F39)</f>
      </c>
      <c r="G38" s="235">
        <f>+F38*(1+G39)</f>
      </c>
      <c r="H38" s="235">
        <f>+G38*(1+H39)</f>
      </c>
      <c r="I38" s="1"/>
      <c r="J38" s="1"/>
    </row>
    <row x14ac:dyDescent="0.25" r="39" customHeight="1" ht="18.75">
      <c r="A39" s="123" t="s">
        <v>403</v>
      </c>
      <c r="B39" s="432"/>
      <c r="C39" s="434"/>
      <c r="D39" s="435"/>
      <c r="E39" s="435"/>
      <c r="F39" s="435"/>
      <c r="G39" s="435"/>
      <c r="H39" s="435"/>
      <c r="I39" s="1"/>
      <c r="J39" s="1"/>
    </row>
    <row x14ac:dyDescent="0.25" r="40" customHeight="1" ht="18.75">
      <c r="A40" s="123" t="s">
        <v>404</v>
      </c>
      <c r="B40" s="432"/>
      <c r="C40" s="436"/>
      <c r="D40" s="256">
        <f>+C40*(1+D9)</f>
      </c>
      <c r="E40" s="256">
        <f>+D40*(1+E9)</f>
      </c>
      <c r="F40" s="256">
        <f>+E40*(1+F9)</f>
      </c>
      <c r="G40" s="256">
        <f>+F40*(1+G9)</f>
      </c>
      <c r="H40" s="256">
        <f>+G40*(1+H9)</f>
      </c>
      <c r="I40" s="1"/>
      <c r="J40" s="1"/>
    </row>
    <row x14ac:dyDescent="0.25" r="41" customHeight="1" ht="18.75">
      <c r="A41" s="418" t="s">
        <v>224</v>
      </c>
      <c r="B41" s="419"/>
      <c r="C41" s="220">
        <f>+C33+C37</f>
      </c>
      <c r="D41" s="220">
        <f>+D33+D37</f>
      </c>
      <c r="E41" s="220">
        <f>+E33+E37</f>
      </c>
      <c r="F41" s="220">
        <f>+F33+F37</f>
      </c>
      <c r="G41" s="220">
        <f>+G33+G37</f>
      </c>
      <c r="H41" s="220">
        <f>+H33+H37</f>
      </c>
      <c r="I41" s="1"/>
      <c r="J41" s="1"/>
    </row>
    <row x14ac:dyDescent="0.25" r="42" customHeight="1" ht="18.75">
      <c r="A42" s="427" t="s">
        <v>408</v>
      </c>
      <c r="B42" s="421"/>
      <c r="C42" s="62"/>
      <c r="D42" s="62"/>
      <c r="E42" s="62"/>
      <c r="F42" s="62"/>
      <c r="G42" s="62"/>
      <c r="H42" s="62"/>
      <c r="I42" s="1"/>
      <c r="J42" s="1"/>
    </row>
    <row x14ac:dyDescent="0.25" r="43" customHeight="1" ht="18.75">
      <c r="A43" s="438" t="s">
        <v>409</v>
      </c>
      <c r="B43" s="439"/>
      <c r="C43" s="62"/>
      <c r="D43" s="62"/>
      <c r="E43" s="62"/>
      <c r="F43" s="62"/>
      <c r="G43" s="62"/>
      <c r="H43" s="62"/>
      <c r="I43" s="106"/>
      <c r="J43" s="106"/>
    </row>
    <row x14ac:dyDescent="0.25" r="44" customHeight="1" ht="18.75">
      <c r="A44" s="12"/>
      <c r="B44" s="439"/>
      <c r="C44" s="62"/>
      <c r="D44" s="62"/>
      <c r="E44" s="62"/>
      <c r="F44" s="62"/>
      <c r="G44" s="62"/>
      <c r="H44" s="62"/>
      <c r="I44" s="106"/>
      <c r="J44" s="106"/>
    </row>
    <row x14ac:dyDescent="0.25" r="45" customHeight="1" ht="18.75">
      <c r="A45" s="413" t="s">
        <v>410</v>
      </c>
      <c r="B45" s="429"/>
      <c r="C45" s="49">
        <f>+C8</f>
      </c>
      <c r="D45" s="49">
        <f>+D8</f>
      </c>
      <c r="E45" s="49">
        <f>+E8</f>
      </c>
      <c r="F45" s="49">
        <f>+F8</f>
      </c>
      <c r="G45" s="49">
        <f>+G8</f>
      </c>
      <c r="H45" s="49">
        <f>+H8</f>
      </c>
      <c r="I45" s="106"/>
      <c r="J45" s="106"/>
    </row>
    <row x14ac:dyDescent="0.25" r="46" customHeight="1" ht="18.75">
      <c r="A46" s="26" t="s">
        <v>411</v>
      </c>
      <c r="B46" s="430"/>
      <c r="C46" s="433"/>
      <c r="D46" s="235">
        <f>+C46*(1+D47)</f>
      </c>
      <c r="E46" s="235">
        <f>+D46*(1+E47)</f>
      </c>
      <c r="F46" s="235">
        <f>+E46*(1+F47)</f>
      </c>
      <c r="G46" s="235">
        <f>+F46*(1+G47)</f>
      </c>
      <c r="H46" s="235">
        <f>+G46*(1+H47)</f>
      </c>
      <c r="I46" s="106"/>
      <c r="J46" s="106"/>
    </row>
    <row x14ac:dyDescent="0.25" r="47" customHeight="1" ht="18.75">
      <c r="A47" s="123" t="s">
        <v>412</v>
      </c>
      <c r="B47" s="432"/>
      <c r="C47" s="434"/>
      <c r="D47" s="435"/>
      <c r="E47" s="435"/>
      <c r="F47" s="435"/>
      <c r="G47" s="435"/>
      <c r="H47" s="435"/>
      <c r="I47" s="106"/>
      <c r="J47" s="106"/>
    </row>
    <row x14ac:dyDescent="0.25" r="48" customHeight="1" ht="18.75">
      <c r="A48" s="26" t="s">
        <v>413</v>
      </c>
      <c r="B48" s="430"/>
      <c r="C48" s="433"/>
      <c r="D48" s="235"/>
      <c r="E48" s="235"/>
      <c r="F48" s="235"/>
      <c r="G48" s="235"/>
      <c r="H48" s="235"/>
      <c r="I48" s="106"/>
      <c r="J48" s="106"/>
    </row>
    <row x14ac:dyDescent="0.25" r="49" customHeight="1" ht="18.75">
      <c r="A49" s="123" t="s">
        <v>412</v>
      </c>
      <c r="B49" s="432"/>
      <c r="C49" s="434"/>
      <c r="D49" s="435"/>
      <c r="E49" s="435"/>
      <c r="F49" s="435"/>
      <c r="G49" s="435"/>
      <c r="H49" s="435"/>
      <c r="I49" s="106"/>
      <c r="J49" s="106"/>
    </row>
    <row x14ac:dyDescent="0.25" r="50" customHeight="1" ht="18.75">
      <c r="A50" s="26" t="s">
        <v>414</v>
      </c>
      <c r="B50" s="430"/>
      <c r="C50" s="433"/>
      <c r="D50" s="235">
        <f>+C50*(1+D51)</f>
      </c>
      <c r="E50" s="235">
        <f>+D50*(1+E51)</f>
      </c>
      <c r="F50" s="235">
        <f>+E50*(1+F51)</f>
      </c>
      <c r="G50" s="235">
        <f>+F50*(1+G51)</f>
      </c>
      <c r="H50" s="235">
        <f>+G50*(1+H51)</f>
      </c>
      <c r="I50" s="106"/>
      <c r="J50" s="106"/>
    </row>
    <row x14ac:dyDescent="0.25" r="51" customHeight="1" ht="18.75">
      <c r="A51" s="123" t="s">
        <v>412</v>
      </c>
      <c r="B51" s="432"/>
      <c r="C51" s="434"/>
      <c r="D51" s="435"/>
      <c r="E51" s="435"/>
      <c r="F51" s="435"/>
      <c r="G51" s="435"/>
      <c r="H51" s="435"/>
      <c r="I51" s="106"/>
      <c r="J51" s="106"/>
    </row>
    <row x14ac:dyDescent="0.25" r="52" customHeight="1" ht="18.75">
      <c r="A52" s="26" t="s">
        <v>415</v>
      </c>
      <c r="B52" s="430"/>
      <c r="C52" s="433"/>
      <c r="D52" s="235">
        <f>+C52*(1+D53)</f>
      </c>
      <c r="E52" s="235">
        <f>+D52*(1+E53)</f>
      </c>
      <c r="F52" s="235">
        <f>+E52*(1+F53)</f>
      </c>
      <c r="G52" s="235">
        <f>+F52*(1+G53)</f>
      </c>
      <c r="H52" s="235">
        <f>+G52*(1+H53)</f>
      </c>
      <c r="I52" s="106"/>
      <c r="J52" s="106"/>
    </row>
    <row x14ac:dyDescent="0.25" r="53" customHeight="1" ht="18.75">
      <c r="A53" s="123" t="s">
        <v>412</v>
      </c>
      <c r="B53" s="432"/>
      <c r="C53" s="434"/>
      <c r="D53" s="435"/>
      <c r="E53" s="435"/>
      <c r="F53" s="435"/>
      <c r="G53" s="435"/>
      <c r="H53" s="435"/>
      <c r="I53" s="106"/>
      <c r="J53" s="106"/>
    </row>
    <row x14ac:dyDescent="0.25" r="54" customHeight="1" ht="18.75">
      <c r="A54" s="418" t="s">
        <v>224</v>
      </c>
      <c r="B54" s="419"/>
      <c r="C54" s="220">
        <f>+C46+C48+C50+C52</f>
      </c>
      <c r="D54" s="220">
        <f>+D46+D48+D50+D52</f>
      </c>
      <c r="E54" s="220">
        <f>+E46+E48+E50+E52</f>
      </c>
      <c r="F54" s="220">
        <f>+F46+F48+F50+F52</f>
      </c>
      <c r="G54" s="220">
        <f>+G46+G48+G50+G52</f>
      </c>
      <c r="H54" s="220">
        <f>+H46+H48+H50+H52</f>
      </c>
      <c r="I54" s="1"/>
      <c r="J54" s="1"/>
    </row>
    <row x14ac:dyDescent="0.25" r="55" customHeight="1" ht="18.75">
      <c r="A55" s="440"/>
      <c r="B55" s="441"/>
      <c r="C55" s="62"/>
      <c r="D55" s="62"/>
      <c r="E55" s="62"/>
      <c r="F55" s="62"/>
      <c r="G55" s="62"/>
      <c r="H55" s="62"/>
      <c r="I55" s="106"/>
      <c r="J55" s="106"/>
    </row>
    <row x14ac:dyDescent="0.25" r="56" customHeight="1" ht="18.75">
      <c r="A56" s="440"/>
      <c r="B56" s="441"/>
      <c r="C56" s="62"/>
      <c r="D56" s="62"/>
      <c r="E56" s="62"/>
      <c r="F56" s="62"/>
      <c r="G56" s="62"/>
      <c r="H56" s="62"/>
      <c r="I56" s="106"/>
      <c r="J56" s="106"/>
    </row>
    <row x14ac:dyDescent="0.25" r="57" customHeight="1" ht="18.75">
      <c r="A57" s="413" t="s">
        <v>416</v>
      </c>
      <c r="B57" s="429"/>
      <c r="C57" s="49">
        <f>+C8</f>
      </c>
      <c r="D57" s="49">
        <f>+D8</f>
      </c>
      <c r="E57" s="49">
        <f>+E8</f>
      </c>
      <c r="F57" s="49">
        <f>+F8</f>
      </c>
      <c r="G57" s="49">
        <f>+G8</f>
      </c>
      <c r="H57" s="49">
        <f>+H8</f>
      </c>
      <c r="I57" s="106"/>
      <c r="J57" s="106"/>
    </row>
    <row x14ac:dyDescent="0.25" r="58" customHeight="1" ht="18.75">
      <c r="A58" s="437">
        <f>A46</f>
      </c>
      <c r="B58" s="430"/>
      <c r="C58" s="433"/>
      <c r="D58" s="235"/>
      <c r="E58" s="235"/>
      <c r="F58" s="235"/>
      <c r="G58" s="235"/>
      <c r="H58" s="235"/>
      <c r="I58" s="106"/>
      <c r="J58" s="106"/>
    </row>
    <row x14ac:dyDescent="0.25" r="59" customHeight="1" ht="18.75">
      <c r="A59" s="123" t="s">
        <v>412</v>
      </c>
      <c r="B59" s="432"/>
      <c r="C59" s="434"/>
      <c r="D59" s="435"/>
      <c r="E59" s="435"/>
      <c r="F59" s="435"/>
      <c r="G59" s="435"/>
      <c r="H59" s="435"/>
      <c r="I59" s="106"/>
      <c r="J59" s="106"/>
    </row>
    <row x14ac:dyDescent="0.25" r="60" customHeight="1" ht="18.75">
      <c r="A60" s="437">
        <f>A48</f>
      </c>
      <c r="B60" s="430"/>
      <c r="C60" s="433"/>
      <c r="D60" s="235">
        <f>+C60*(1+D61)</f>
      </c>
      <c r="E60" s="235">
        <f>+D60*(1+E61)</f>
      </c>
      <c r="F60" s="235">
        <f>+E60*(1+F61)</f>
      </c>
      <c r="G60" s="235">
        <f>+F60*(1+G61)</f>
      </c>
      <c r="H60" s="235">
        <f>+G60*(1+H61)</f>
      </c>
      <c r="I60" s="106"/>
      <c r="J60" s="106"/>
    </row>
    <row x14ac:dyDescent="0.25" r="61" customHeight="1" ht="18.75">
      <c r="A61" s="123" t="s">
        <v>412</v>
      </c>
      <c r="B61" s="432"/>
      <c r="C61" s="434"/>
      <c r="D61" s="435"/>
      <c r="E61" s="435"/>
      <c r="F61" s="435"/>
      <c r="G61" s="435"/>
      <c r="H61" s="435"/>
      <c r="I61" s="106"/>
      <c r="J61" s="106"/>
    </row>
    <row x14ac:dyDescent="0.25" r="62" customHeight="1" ht="18.75">
      <c r="A62" s="437">
        <f>A50</f>
      </c>
      <c r="B62" s="430"/>
      <c r="C62" s="433"/>
      <c r="D62" s="235">
        <f>+C62*(1+D63)</f>
      </c>
      <c r="E62" s="235">
        <f>+D62*(1+E63)</f>
      </c>
      <c r="F62" s="235">
        <f>+E62*(1+F63)</f>
      </c>
      <c r="G62" s="235">
        <f>+F62*(1+G63)</f>
      </c>
      <c r="H62" s="235">
        <f>+G62*(1+H63)</f>
      </c>
      <c r="I62" s="106"/>
      <c r="J62" s="106"/>
    </row>
    <row x14ac:dyDescent="0.25" r="63" customHeight="1" ht="18.75">
      <c r="A63" s="123" t="s">
        <v>412</v>
      </c>
      <c r="B63" s="432"/>
      <c r="C63" s="434"/>
      <c r="D63" s="435"/>
      <c r="E63" s="435"/>
      <c r="F63" s="435"/>
      <c r="G63" s="435"/>
      <c r="H63" s="435"/>
      <c r="I63" s="106"/>
      <c r="J63" s="106"/>
    </row>
    <row x14ac:dyDescent="0.25" r="64" customHeight="1" ht="18.75">
      <c r="A64" s="437">
        <f>A52</f>
      </c>
      <c r="B64" s="430"/>
      <c r="C64" s="433"/>
      <c r="D64" s="235">
        <f>+C64*(1+D65)</f>
      </c>
      <c r="E64" s="235">
        <f>+D64*(1+E65)</f>
      </c>
      <c r="F64" s="235">
        <f>+E64*(1+F65)</f>
      </c>
      <c r="G64" s="235">
        <f>+F64*(1+G65)</f>
      </c>
      <c r="H64" s="235">
        <f>+G64*(1+H65)</f>
      </c>
      <c r="I64" s="106"/>
      <c r="J64" s="106"/>
    </row>
    <row x14ac:dyDescent="0.25" r="65" customHeight="1" ht="18.75">
      <c r="A65" s="123" t="s">
        <v>412</v>
      </c>
      <c r="B65" s="432"/>
      <c r="C65" s="434"/>
      <c r="D65" s="435"/>
      <c r="E65" s="435"/>
      <c r="F65" s="435"/>
      <c r="G65" s="435"/>
      <c r="H65" s="435"/>
      <c r="I65" s="106"/>
      <c r="J65" s="106"/>
    </row>
    <row x14ac:dyDescent="0.25" r="66" customHeight="1" ht="18.75">
      <c r="A66" s="418" t="s">
        <v>224</v>
      </c>
      <c r="B66" s="419"/>
      <c r="C66" s="220">
        <f>+C58+C60+C62+C64</f>
      </c>
      <c r="D66" s="220">
        <f>+D58+D60+D62+D64</f>
      </c>
      <c r="E66" s="220">
        <f>+E58+E60+E62+E64</f>
      </c>
      <c r="F66" s="220">
        <f>+F58+F60+F62+F64</f>
      </c>
      <c r="G66" s="220">
        <f>+G58+G60+G62+G64</f>
      </c>
      <c r="H66" s="220">
        <f>+H58+H60+H62+H64</f>
      </c>
      <c r="I66" s="1"/>
      <c r="J66" s="1"/>
    </row>
    <row x14ac:dyDescent="0.25" r="67" customHeight="1" ht="18.75">
      <c r="A67" s="440"/>
      <c r="B67" s="441"/>
      <c r="C67" s="62"/>
      <c r="D67" s="62"/>
      <c r="E67" s="62"/>
      <c r="F67" s="62"/>
      <c r="G67" s="62"/>
      <c r="H67" s="62"/>
      <c r="I67" s="106"/>
      <c r="J67" s="106"/>
    </row>
    <row x14ac:dyDescent="0.25" r="68" customHeight="1" ht="18.75">
      <c r="A68" s="440"/>
      <c r="B68" s="441"/>
      <c r="C68" s="62"/>
      <c r="D68" s="62"/>
      <c r="E68" s="62"/>
      <c r="F68" s="62"/>
      <c r="G68" s="62"/>
      <c r="H68" s="62"/>
      <c r="I68" s="106"/>
      <c r="J68" s="106"/>
    </row>
    <row x14ac:dyDescent="0.25" r="69" customHeight="1" ht="18.75">
      <c r="A69" s="442" t="s">
        <v>417</v>
      </c>
      <c r="B69" s="443"/>
      <c r="C69" s="56">
        <f>+C29</f>
      </c>
      <c r="D69" s="56">
        <f>+D29</f>
      </c>
      <c r="E69" s="56">
        <f>+E29</f>
      </c>
      <c r="F69" s="56">
        <f>+F29</f>
      </c>
      <c r="G69" s="56">
        <f>+G29</f>
      </c>
      <c r="H69" s="56">
        <f>+H29</f>
      </c>
      <c r="I69" s="106"/>
      <c r="J69" s="106"/>
    </row>
    <row x14ac:dyDescent="0.25" r="70" customHeight="1" ht="18.75">
      <c r="A70" s="442" t="s">
        <v>418</v>
      </c>
      <c r="B70" s="443"/>
      <c r="C70" s="56">
        <f>+C41</f>
      </c>
      <c r="D70" s="56">
        <f>+D41</f>
      </c>
      <c r="E70" s="56">
        <f>+E41</f>
      </c>
      <c r="F70" s="56">
        <f>+F41</f>
      </c>
      <c r="G70" s="56">
        <f>+G41</f>
      </c>
      <c r="H70" s="56">
        <f>+H41</f>
      </c>
      <c r="I70" s="106"/>
      <c r="J70" s="106"/>
    </row>
    <row x14ac:dyDescent="0.25" r="71" customHeight="1" ht="18.75">
      <c r="A71" s="442" t="s">
        <v>419</v>
      </c>
      <c r="B71" s="443"/>
      <c r="C71" s="31">
        <f>+C69+C70</f>
      </c>
      <c r="D71" s="31">
        <f>+D69+D70</f>
      </c>
      <c r="E71" s="31">
        <f>+E69+E70</f>
      </c>
      <c r="F71" s="31">
        <f>+F69+F70</f>
      </c>
      <c r="G71" s="31">
        <f>+G69+G70</f>
      </c>
      <c r="H71" s="31">
        <f>+H69+H70</f>
      </c>
      <c r="I71" s="106"/>
      <c r="J71" s="106"/>
    </row>
    <row x14ac:dyDescent="0.25" r="72" customHeight="1" ht="18.75">
      <c r="A72" s="444" t="s">
        <v>420</v>
      </c>
      <c r="B72" s="445">
        <f>+Pressupostos!B18</f>
      </c>
      <c r="C72" s="220">
        <f>+C69*$B$72</f>
      </c>
      <c r="D72" s="220">
        <f>+D69*$B$72</f>
      </c>
      <c r="E72" s="220">
        <f>+E69*$B$72</f>
      </c>
      <c r="F72" s="220">
        <f>+F69*$B$72</f>
      </c>
      <c r="G72" s="220">
        <f>+G69*$B$72</f>
      </c>
      <c r="H72" s="220">
        <f>+H69*$B$72</f>
      </c>
      <c r="I72" s="106"/>
      <c r="J72" s="106"/>
    </row>
    <row x14ac:dyDescent="0.25" r="73" customHeight="1" ht="18.75">
      <c r="A73" s="420"/>
      <c r="B73" s="446"/>
      <c r="C73" s="62"/>
      <c r="D73" s="62"/>
      <c r="E73" s="62"/>
      <c r="F73" s="62"/>
      <c r="G73" s="62"/>
      <c r="H73" s="62"/>
      <c r="I73" s="106"/>
      <c r="J73" s="106"/>
    </row>
    <row x14ac:dyDescent="0.25" r="74" customHeight="1" ht="18.75">
      <c r="A74" s="420"/>
      <c r="B74" s="446"/>
      <c r="C74" s="62"/>
      <c r="D74" s="62"/>
      <c r="E74" s="62"/>
      <c r="F74" s="62"/>
      <c r="G74" s="62"/>
      <c r="H74" s="62"/>
      <c r="I74" s="106"/>
      <c r="J74" s="106"/>
    </row>
    <row x14ac:dyDescent="0.25" r="75" customHeight="1" ht="18.75">
      <c r="A75" s="442" t="s">
        <v>421</v>
      </c>
      <c r="B75" s="443"/>
      <c r="C75" s="56">
        <f>+C54</f>
      </c>
      <c r="D75" s="56">
        <f>+D54</f>
      </c>
      <c r="E75" s="56">
        <f>+E54</f>
      </c>
      <c r="F75" s="56">
        <f>+F54</f>
      </c>
      <c r="G75" s="56">
        <f>+G54</f>
      </c>
      <c r="H75" s="56">
        <f>+H54</f>
      </c>
      <c r="I75" s="106"/>
      <c r="J75" s="106"/>
    </row>
    <row x14ac:dyDescent="0.25" r="76" customHeight="1" ht="18.75">
      <c r="A76" s="442" t="s">
        <v>422</v>
      </c>
      <c r="B76" s="443"/>
      <c r="C76" s="56">
        <f>+C66</f>
      </c>
      <c r="D76" s="56">
        <f>+D66</f>
      </c>
      <c r="E76" s="56">
        <f>+E66</f>
      </c>
      <c r="F76" s="56">
        <f>+F66</f>
      </c>
      <c r="G76" s="56">
        <f>+G66</f>
      </c>
      <c r="H76" s="56">
        <f>+H66</f>
      </c>
      <c r="I76" s="106"/>
      <c r="J76" s="106"/>
    </row>
    <row x14ac:dyDescent="0.25" r="77" customHeight="1" ht="18.75">
      <c r="A77" s="442" t="s">
        <v>423</v>
      </c>
      <c r="B77" s="443"/>
      <c r="C77" s="31">
        <f>+C75+C76</f>
      </c>
      <c r="D77" s="31">
        <f>+D75+D76</f>
      </c>
      <c r="E77" s="31">
        <f>+E75+E76</f>
      </c>
      <c r="F77" s="31">
        <f>+F75+F76</f>
      </c>
      <c r="G77" s="31">
        <f>+G75+G76</f>
      </c>
      <c r="H77" s="31">
        <f>+H75+H76</f>
      </c>
      <c r="I77" s="106"/>
      <c r="J77" s="106"/>
    </row>
    <row x14ac:dyDescent="0.25" r="78" customHeight="1" ht="18.75">
      <c r="A78" s="444" t="s">
        <v>424</v>
      </c>
      <c r="B78" s="445">
        <f>+Pressupostos!B19</f>
      </c>
      <c r="C78" s="220">
        <f>+C75*$B$78</f>
      </c>
      <c r="D78" s="220">
        <f>+D75*$B$78</f>
      </c>
      <c r="E78" s="220">
        <f>+E75*$B$78</f>
      </c>
      <c r="F78" s="220">
        <f>+F75*$B$78</f>
      </c>
      <c r="G78" s="220">
        <f>+G75*$B$78</f>
      </c>
      <c r="H78" s="220">
        <f>+H75*$B$78</f>
      </c>
      <c r="I78" s="106"/>
      <c r="J78" s="106"/>
    </row>
    <row x14ac:dyDescent="0.25" r="79" customHeight="1" ht="18.75">
      <c r="A79" s="440"/>
      <c r="B79" s="441"/>
      <c r="C79" s="62"/>
      <c r="D79" s="62"/>
      <c r="E79" s="62"/>
      <c r="F79" s="62"/>
      <c r="G79" s="62"/>
      <c r="H79" s="62"/>
      <c r="I79" s="106"/>
      <c r="J79" s="106"/>
    </row>
    <row x14ac:dyDescent="0.25" r="80" customHeight="1" ht="18.75">
      <c r="A80" s="444" t="s">
        <v>425</v>
      </c>
      <c r="B80" s="447"/>
      <c r="C80" s="220">
        <f>+C71+C77</f>
      </c>
      <c r="D80" s="220">
        <f>+D71+D77</f>
      </c>
      <c r="E80" s="220">
        <f>+E71+E77</f>
      </c>
      <c r="F80" s="220">
        <f>+F71+F77</f>
      </c>
      <c r="G80" s="220">
        <f>+G71+G77</f>
      </c>
      <c r="H80" s="220">
        <f>+H71+H77</f>
      </c>
      <c r="I80" s="106"/>
      <c r="J80" s="106"/>
    </row>
    <row x14ac:dyDescent="0.25" r="81" customHeight="1" ht="18.75">
      <c r="A81" s="440"/>
      <c r="B81" s="439"/>
      <c r="C81" s="62"/>
      <c r="D81" s="62"/>
      <c r="E81" s="62"/>
      <c r="F81" s="62"/>
      <c r="G81" s="62"/>
      <c r="H81" s="62"/>
      <c r="I81" s="106"/>
      <c r="J81" s="106"/>
    </row>
    <row x14ac:dyDescent="0.25" r="82" customHeight="1" ht="18.75">
      <c r="A82" s="444" t="s">
        <v>259</v>
      </c>
      <c r="B82" s="447"/>
      <c r="C82" s="220">
        <f>+C72+C78</f>
      </c>
      <c r="D82" s="220">
        <f>+D72+D78</f>
      </c>
      <c r="E82" s="220">
        <f>+E72+E78</f>
      </c>
      <c r="F82" s="220">
        <f>+F72+F78</f>
      </c>
      <c r="G82" s="220">
        <f>+G72+G78</f>
      </c>
      <c r="H82" s="220">
        <f>+H72+H78</f>
      </c>
      <c r="I82" s="106"/>
      <c r="J82" s="106"/>
    </row>
    <row x14ac:dyDescent="0.25" r="83" customHeight="1" ht="18.75">
      <c r="A83" s="12"/>
      <c r="B83" s="44"/>
      <c r="C83" s="38"/>
      <c r="D83" s="38"/>
      <c r="E83" s="38"/>
      <c r="F83" s="38"/>
      <c r="G83" s="38"/>
      <c r="H83" s="38"/>
      <c r="I83" s="106"/>
      <c r="J83" s="106"/>
    </row>
    <row x14ac:dyDescent="0.25" r="84" customHeight="1" ht="18.75">
      <c r="A84" s="444" t="s">
        <v>426</v>
      </c>
      <c r="B84" s="447"/>
      <c r="C84" s="220">
        <f>+C80+C82</f>
      </c>
      <c r="D84" s="220">
        <f>+D80+D82</f>
      </c>
      <c r="E84" s="220">
        <f>+E80+E82</f>
      </c>
      <c r="F84" s="220">
        <f>+F80+F82</f>
      </c>
      <c r="G84" s="220">
        <f>+G80+G82</f>
      </c>
      <c r="H84" s="220">
        <f>+H80+H82</f>
      </c>
      <c r="I84" s="106"/>
      <c r="J84" s="106"/>
    </row>
    <row x14ac:dyDescent="0.25" r="85" customHeight="1" ht="18.75">
      <c r="A85" s="12"/>
      <c r="B85" s="44"/>
      <c r="C85" s="38"/>
      <c r="D85" s="38"/>
      <c r="E85" s="38"/>
      <c r="F85" s="38"/>
      <c r="G85" s="38"/>
      <c r="H85" s="38"/>
      <c r="I85" s="106"/>
      <c r="J85" s="106"/>
    </row>
    <row x14ac:dyDescent="0.25" r="86" customHeight="1" ht="18.75">
      <c r="A86" s="12"/>
      <c r="B86" s="44"/>
      <c r="C86" s="38"/>
      <c r="D86" s="38"/>
      <c r="E86" s="38"/>
      <c r="F86" s="38"/>
      <c r="G86" s="38"/>
      <c r="H86" s="38"/>
      <c r="I86" s="106"/>
      <c r="J86" s="106"/>
    </row>
    <row x14ac:dyDescent="0.25" r="87" customHeight="1" ht="18.75">
      <c r="A87" s="444" t="s">
        <v>427</v>
      </c>
      <c r="B87" s="448">
        <v>0</v>
      </c>
      <c r="C87" s="220">
        <f>+$B$87*C84</f>
      </c>
      <c r="D87" s="220">
        <f>+$B$87*D84</f>
      </c>
      <c r="E87" s="220">
        <f>+$B$87*E84</f>
      </c>
      <c r="F87" s="220">
        <f>+$B$87*F84</f>
      </c>
      <c r="G87" s="220">
        <f>+$B$87*G84</f>
      </c>
      <c r="H87" s="220">
        <f>+$B$87*H84</f>
      </c>
      <c r="I87" s="106"/>
      <c r="J87" s="106"/>
    </row>
    <row x14ac:dyDescent="0.25" r="88" customHeight="1" ht="18.75">
      <c r="A88" s="12"/>
      <c r="B88" s="44"/>
      <c r="C88" s="38"/>
      <c r="D88" s="38"/>
      <c r="E88" s="38"/>
      <c r="F88" s="38"/>
      <c r="G88" s="38"/>
      <c r="H88" s="38"/>
      <c r="I88" s="1"/>
      <c r="J88" s="1"/>
    </row>
    <row x14ac:dyDescent="0.25" r="89" customHeight="1" ht="18.75">
      <c r="A89" s="106"/>
      <c r="B89" s="189"/>
      <c r="C89" s="81"/>
      <c r="D89" s="81"/>
      <c r="E89" s="81"/>
      <c r="F89" s="81"/>
      <c r="G89" s="81"/>
      <c r="H89" s="81"/>
      <c r="I89" s="1"/>
      <c r="J89" s="1"/>
    </row>
    <row x14ac:dyDescent="0.25" r="90" customHeight="1" ht="18.75">
      <c r="A90" s="106"/>
      <c r="B90" s="189"/>
      <c r="C90" s="81"/>
      <c r="D90" s="81"/>
      <c r="E90" s="81"/>
      <c r="F90" s="81"/>
      <c r="G90" s="81"/>
      <c r="H90" s="81"/>
      <c r="I90" s="1"/>
      <c r="J90" s="1"/>
    </row>
    <row x14ac:dyDescent="0.25" r="91" customHeight="1" ht="18.75">
      <c r="A91" s="106"/>
      <c r="B91" s="189"/>
      <c r="C91" s="81"/>
      <c r="D91" s="81"/>
      <c r="E91" s="81"/>
      <c r="F91" s="81"/>
      <c r="G91" s="81"/>
      <c r="H91" s="81"/>
      <c r="I91" s="1"/>
      <c r="J91" s="1"/>
    </row>
    <row x14ac:dyDescent="0.25" r="92" customHeight="1" ht="18.75">
      <c r="A92" s="106"/>
      <c r="B92" s="189"/>
      <c r="C92" s="81"/>
      <c r="D92" s="81"/>
      <c r="E92" s="81"/>
      <c r="F92" s="81"/>
      <c r="G92" s="81"/>
      <c r="H92" s="81"/>
      <c r="I92" s="1"/>
      <c r="J92" s="1"/>
    </row>
    <row x14ac:dyDescent="0.25" r="93" customHeight="1" ht="18.75">
      <c r="A93" s="106"/>
      <c r="B93" s="189"/>
      <c r="C93" s="81"/>
      <c r="D93" s="81"/>
      <c r="E93" s="81"/>
      <c r="F93" s="81"/>
      <c r="G93" s="81"/>
      <c r="H93" s="81"/>
      <c r="I93" s="1"/>
      <c r="J93" s="1"/>
    </row>
    <row x14ac:dyDescent="0.25" r="94" customHeight="1" ht="18.75">
      <c r="A94" s="106"/>
      <c r="B94" s="189"/>
      <c r="C94" s="81"/>
      <c r="D94" s="81"/>
      <c r="E94" s="81"/>
      <c r="F94" s="81"/>
      <c r="G94" s="81"/>
      <c r="H94" s="81"/>
      <c r="I94" s="1"/>
      <c r="J94" s="1"/>
    </row>
    <row x14ac:dyDescent="0.25" r="95" customHeight="1" ht="18.75">
      <c r="A95" s="106"/>
      <c r="B95" s="189"/>
      <c r="C95" s="81"/>
      <c r="D95" s="81"/>
      <c r="E95" s="81"/>
      <c r="F95" s="81"/>
      <c r="G95" s="81"/>
      <c r="H95" s="81"/>
      <c r="I95" s="1"/>
      <c r="J95" s="1"/>
    </row>
    <row x14ac:dyDescent="0.25" r="96" customHeight="1" ht="18.75">
      <c r="A96" s="106"/>
      <c r="B96" s="189"/>
      <c r="C96" s="81"/>
      <c r="D96" s="81"/>
      <c r="E96" s="81"/>
      <c r="F96" s="81"/>
      <c r="G96" s="81"/>
      <c r="H96" s="81"/>
      <c r="I96" s="1"/>
      <c r="J96" s="1"/>
    </row>
    <row x14ac:dyDescent="0.25" r="97" customHeight="1" ht="18.75">
      <c r="A97" s="106"/>
      <c r="B97" s="189"/>
      <c r="C97" s="81"/>
      <c r="D97" s="81"/>
      <c r="E97" s="81"/>
      <c r="F97" s="81"/>
      <c r="G97" s="81"/>
      <c r="H97" s="81"/>
      <c r="I97" s="1"/>
      <c r="J97" s="1"/>
    </row>
    <row x14ac:dyDescent="0.25" r="98" customHeight="1" ht="18.75">
      <c r="A98" s="106"/>
      <c r="B98" s="189"/>
      <c r="C98" s="81"/>
      <c r="D98" s="81"/>
      <c r="E98" s="81"/>
      <c r="F98" s="81"/>
      <c r="G98" s="81"/>
      <c r="H98" s="81"/>
      <c r="I98" s="1"/>
      <c r="J98" s="1"/>
    </row>
    <row x14ac:dyDescent="0.25" r="99" customHeight="1" ht="18.75">
      <c r="A99" s="106"/>
      <c r="B99" s="189"/>
      <c r="C99" s="81"/>
      <c r="D99" s="81"/>
      <c r="E99" s="81"/>
      <c r="F99" s="81"/>
      <c r="G99" s="81"/>
      <c r="H99" s="81"/>
      <c r="I99" s="1"/>
      <c r="J99" s="1"/>
    </row>
    <row x14ac:dyDescent="0.25" r="100" customHeight="1" ht="18.75">
      <c r="A100" s="106"/>
      <c r="B100" s="189"/>
      <c r="C100" s="81"/>
      <c r="D100" s="81"/>
      <c r="E100" s="81"/>
      <c r="F100" s="81"/>
      <c r="G100" s="81"/>
      <c r="H100" s="81"/>
      <c r="I100" s="1"/>
      <c r="J100" s="1"/>
    </row>
    <row x14ac:dyDescent="0.25" r="101" customHeight="1" ht="18.75">
      <c r="A101" s="106"/>
      <c r="B101" s="189"/>
      <c r="C101" s="81"/>
      <c r="D101" s="81"/>
      <c r="E101" s="81"/>
      <c r="F101" s="81"/>
      <c r="G101" s="81"/>
      <c r="H101" s="81"/>
      <c r="I101" s="1"/>
      <c r="J101" s="1"/>
    </row>
    <row x14ac:dyDescent="0.25" r="102" customHeight="1" ht="18.75">
      <c r="A102" s="106"/>
      <c r="B102" s="189"/>
      <c r="C102" s="81"/>
      <c r="D102" s="81"/>
      <c r="E102" s="81"/>
      <c r="F102" s="81"/>
      <c r="G102" s="81"/>
      <c r="H102" s="81"/>
      <c r="I102" s="1"/>
      <c r="J102" s="1"/>
    </row>
    <row x14ac:dyDescent="0.25" r="103" customHeight="1" ht="18.75">
      <c r="A103" s="106"/>
      <c r="B103" s="189"/>
      <c r="C103" s="81"/>
      <c r="D103" s="81"/>
      <c r="E103" s="81"/>
      <c r="F103" s="81"/>
      <c r="G103" s="81"/>
      <c r="H103" s="81"/>
      <c r="I103" s="1"/>
      <c r="J103" s="1"/>
    </row>
    <row x14ac:dyDescent="0.25" r="104" customHeight="1" ht="18.75">
      <c r="A104" s="106"/>
      <c r="B104" s="189"/>
      <c r="C104" s="81"/>
      <c r="D104" s="81"/>
      <c r="E104" s="81"/>
      <c r="F104" s="81"/>
      <c r="G104" s="81"/>
      <c r="H104" s="81"/>
      <c r="I104" s="1"/>
      <c r="J104" s="1"/>
    </row>
    <row x14ac:dyDescent="0.25" r="105" customHeight="1" ht="18.75">
      <c r="A105" s="106"/>
      <c r="B105" s="189"/>
      <c r="C105" s="81"/>
      <c r="D105" s="81"/>
      <c r="E105" s="81"/>
      <c r="F105" s="81"/>
      <c r="G105" s="81"/>
      <c r="H105" s="81"/>
      <c r="I105" s="1"/>
      <c r="J105" s="1"/>
    </row>
    <row x14ac:dyDescent="0.25" r="106" customHeight="1" ht="18.75">
      <c r="A106" s="106"/>
      <c r="B106" s="189"/>
      <c r="C106" s="81"/>
      <c r="D106" s="81"/>
      <c r="E106" s="81"/>
      <c r="F106" s="81"/>
      <c r="G106" s="81"/>
      <c r="H106" s="81"/>
      <c r="I106" s="1"/>
      <c r="J106" s="1"/>
    </row>
    <row x14ac:dyDescent="0.25" r="107" customHeight="1" ht="18.75">
      <c r="A107" s="106"/>
      <c r="B107" s="189"/>
      <c r="C107" s="81"/>
      <c r="D107" s="81"/>
      <c r="E107" s="81"/>
      <c r="F107" s="81"/>
      <c r="G107" s="81"/>
      <c r="H107" s="81"/>
      <c r="I107" s="1"/>
      <c r="J107" s="1"/>
    </row>
    <row x14ac:dyDescent="0.25" r="108" customHeight="1" ht="18.75">
      <c r="A108" s="106"/>
      <c r="B108" s="189"/>
      <c r="C108" s="81"/>
      <c r="D108" s="81"/>
      <c r="E108" s="81"/>
      <c r="F108" s="81"/>
      <c r="G108" s="81"/>
      <c r="H108" s="81"/>
      <c r="I108" s="1"/>
      <c r="J108" s="1"/>
    </row>
    <row x14ac:dyDescent="0.25" r="109" customHeight="1" ht="18.75">
      <c r="A109" s="106"/>
      <c r="B109" s="189"/>
      <c r="C109" s="81"/>
      <c r="D109" s="81"/>
      <c r="E109" s="81"/>
      <c r="F109" s="81"/>
      <c r="G109" s="81"/>
      <c r="H109" s="81"/>
      <c r="I109" s="1"/>
      <c r="J109" s="1"/>
    </row>
    <row x14ac:dyDescent="0.25" r="110" customHeight="1" ht="18.75">
      <c r="A110" s="106"/>
      <c r="B110" s="189"/>
      <c r="C110" s="81"/>
      <c r="D110" s="81"/>
      <c r="E110" s="81"/>
      <c r="F110" s="81"/>
      <c r="G110" s="81"/>
      <c r="H110" s="81"/>
      <c r="I110" s="1"/>
      <c r="J110" s="1"/>
    </row>
    <row x14ac:dyDescent="0.25" r="111" customHeight="1" ht="18.75">
      <c r="A111" s="106"/>
      <c r="B111" s="189"/>
      <c r="C111" s="81"/>
      <c r="D111" s="81"/>
      <c r="E111" s="81"/>
      <c r="F111" s="81"/>
      <c r="G111" s="81"/>
      <c r="H111" s="81"/>
      <c r="I111" s="1"/>
      <c r="J111" s="1"/>
    </row>
    <row x14ac:dyDescent="0.25" r="112" customHeight="1" ht="18.75">
      <c r="A112" s="106"/>
      <c r="B112" s="189"/>
      <c r="C112" s="81"/>
      <c r="D112" s="81"/>
      <c r="E112" s="81"/>
      <c r="F112" s="81"/>
      <c r="G112" s="81"/>
      <c r="H112" s="81"/>
      <c r="I112" s="1"/>
      <c r="J112" s="1"/>
    </row>
    <row x14ac:dyDescent="0.25" r="113" customHeight="1" ht="18.75">
      <c r="A113" s="106"/>
      <c r="B113" s="189"/>
      <c r="C113" s="81"/>
      <c r="D113" s="81"/>
      <c r="E113" s="81"/>
      <c r="F113" s="81"/>
      <c r="G113" s="81"/>
      <c r="H113" s="81"/>
      <c r="I113" s="1"/>
      <c r="J113" s="1"/>
    </row>
    <row x14ac:dyDescent="0.25" r="114" customHeight="1" ht="18.75">
      <c r="A114" s="106"/>
      <c r="B114" s="189"/>
      <c r="C114" s="81"/>
      <c r="D114" s="81"/>
      <c r="E114" s="81"/>
      <c r="F114" s="81"/>
      <c r="G114" s="81"/>
      <c r="H114" s="81"/>
      <c r="I114" s="1"/>
      <c r="J114" s="1"/>
    </row>
    <row x14ac:dyDescent="0.25" r="115" customHeight="1" ht="18.75">
      <c r="A115" s="106"/>
      <c r="B115" s="189"/>
      <c r="C115" s="81"/>
      <c r="D115" s="81"/>
      <c r="E115" s="81"/>
      <c r="F115" s="81"/>
      <c r="G115" s="81"/>
      <c r="H115" s="81"/>
      <c r="I115" s="1"/>
      <c r="J115" s="1"/>
    </row>
    <row x14ac:dyDescent="0.25" r="116" customHeight="1" ht="18.75">
      <c r="A116" s="106"/>
      <c r="B116" s="189"/>
      <c r="C116" s="81"/>
      <c r="D116" s="81"/>
      <c r="E116" s="81"/>
      <c r="F116" s="81"/>
      <c r="G116" s="81"/>
      <c r="H116" s="81"/>
      <c r="I116" s="1"/>
      <c r="J116" s="1"/>
    </row>
    <row x14ac:dyDescent="0.25" r="117" customHeight="1" ht="18.75">
      <c r="A117" s="106"/>
      <c r="B117" s="189"/>
      <c r="C117" s="81"/>
      <c r="D117" s="81"/>
      <c r="E117" s="81"/>
      <c r="F117" s="81"/>
      <c r="G117" s="81"/>
      <c r="H117" s="81"/>
      <c r="I117" s="1"/>
      <c r="J117" s="1"/>
    </row>
    <row x14ac:dyDescent="0.25" r="118" customHeight="1" ht="18.75">
      <c r="A118" s="106"/>
      <c r="B118" s="189"/>
      <c r="C118" s="81"/>
      <c r="D118" s="81"/>
      <c r="E118" s="81"/>
      <c r="F118" s="81"/>
      <c r="G118" s="81"/>
      <c r="H118" s="81"/>
      <c r="I118" s="1"/>
      <c r="J118" s="1"/>
    </row>
    <row x14ac:dyDescent="0.25" r="119" customHeight="1" ht="18.75">
      <c r="A119" s="106"/>
      <c r="B119" s="189"/>
      <c r="C119" s="81"/>
      <c r="D119" s="81"/>
      <c r="E119" s="81"/>
      <c r="F119" s="81"/>
      <c r="G119" s="81"/>
      <c r="H119" s="81"/>
      <c r="I119" s="1"/>
      <c r="J119" s="1"/>
    </row>
    <row x14ac:dyDescent="0.25" r="120" customHeight="1" ht="18.75">
      <c r="A120" s="106"/>
      <c r="B120" s="189"/>
      <c r="C120" s="81"/>
      <c r="D120" s="81"/>
      <c r="E120" s="81"/>
      <c r="F120" s="81"/>
      <c r="G120" s="81"/>
      <c r="H120" s="81"/>
      <c r="I120" s="1"/>
      <c r="J120" s="1"/>
    </row>
    <row x14ac:dyDescent="0.25" r="121" customHeight="1" ht="18.75">
      <c r="A121" s="106"/>
      <c r="B121" s="189"/>
      <c r="C121" s="81"/>
      <c r="D121" s="81"/>
      <c r="E121" s="81"/>
      <c r="F121" s="81"/>
      <c r="G121" s="81"/>
      <c r="H121" s="81"/>
      <c r="I121" s="1"/>
      <c r="J121" s="1"/>
    </row>
    <row x14ac:dyDescent="0.25" r="122" customHeight="1" ht="18.75">
      <c r="A122" s="106"/>
      <c r="B122" s="189"/>
      <c r="C122" s="81"/>
      <c r="D122" s="81"/>
      <c r="E122" s="81"/>
      <c r="F122" s="81"/>
      <c r="G122" s="81"/>
      <c r="H122" s="81"/>
      <c r="I122" s="1"/>
      <c r="J122" s="1"/>
    </row>
    <row x14ac:dyDescent="0.25" r="123" customHeight="1" ht="18.75">
      <c r="A123" s="106"/>
      <c r="B123" s="189"/>
      <c r="C123" s="81"/>
      <c r="D123" s="81"/>
      <c r="E123" s="81"/>
      <c r="F123" s="81"/>
      <c r="G123" s="81"/>
      <c r="H123" s="81"/>
      <c r="I123" s="1"/>
      <c r="J123" s="1"/>
    </row>
    <row x14ac:dyDescent="0.25" r="124" customHeight="1" ht="18.75">
      <c r="A124" s="106"/>
      <c r="B124" s="189"/>
      <c r="C124" s="81"/>
      <c r="D124" s="81"/>
      <c r="E124" s="81"/>
      <c r="F124" s="81"/>
      <c r="G124" s="81"/>
      <c r="H124" s="81"/>
      <c r="I124" s="1"/>
      <c r="J124" s="1"/>
    </row>
    <row x14ac:dyDescent="0.25" r="125" customHeight="1" ht="18.75">
      <c r="A125" s="106"/>
      <c r="B125" s="189"/>
      <c r="C125" s="81"/>
      <c r="D125" s="81"/>
      <c r="E125" s="81"/>
      <c r="F125" s="81"/>
      <c r="G125" s="81"/>
      <c r="H125" s="81"/>
      <c r="I125" s="1"/>
      <c r="J125" s="1"/>
    </row>
    <row x14ac:dyDescent="0.25" r="126" customHeight="1" ht="18.75">
      <c r="A126" s="106"/>
      <c r="B126" s="189"/>
      <c r="C126" s="81"/>
      <c r="D126" s="81"/>
      <c r="E126" s="81"/>
      <c r="F126" s="81"/>
      <c r="G126" s="81"/>
      <c r="H126" s="81"/>
      <c r="I126" s="1"/>
      <c r="J126" s="1"/>
    </row>
    <row x14ac:dyDescent="0.25" r="127" customHeight="1" ht="18.75">
      <c r="A127" s="106"/>
      <c r="B127" s="189"/>
      <c r="C127" s="81"/>
      <c r="D127" s="81"/>
      <c r="E127" s="81"/>
      <c r="F127" s="81"/>
      <c r="G127" s="81"/>
      <c r="H127" s="81"/>
      <c r="I127" s="1"/>
      <c r="J127" s="1"/>
    </row>
    <row x14ac:dyDescent="0.25" r="128" customHeight="1" ht="18.75">
      <c r="A128" s="106"/>
      <c r="B128" s="189"/>
      <c r="C128" s="81"/>
      <c r="D128" s="81"/>
      <c r="E128" s="81"/>
      <c r="F128" s="81"/>
      <c r="G128" s="81"/>
      <c r="H128" s="81"/>
      <c r="I128" s="1"/>
      <c r="J128" s="1"/>
    </row>
    <row x14ac:dyDescent="0.25" r="129" customHeight="1" ht="18.75">
      <c r="A129" s="106"/>
      <c r="B129" s="189"/>
      <c r="C129" s="81"/>
      <c r="D129" s="81"/>
      <c r="E129" s="81"/>
      <c r="F129" s="81"/>
      <c r="G129" s="81"/>
      <c r="H129" s="81"/>
      <c r="I129" s="1"/>
      <c r="J129" s="1"/>
    </row>
    <row x14ac:dyDescent="0.25" r="130" customHeight="1" ht="18.75">
      <c r="A130" s="106"/>
      <c r="B130" s="189"/>
      <c r="C130" s="81"/>
      <c r="D130" s="81"/>
      <c r="E130" s="81"/>
      <c r="F130" s="81"/>
      <c r="G130" s="81"/>
      <c r="H130" s="81"/>
      <c r="I130" s="1"/>
      <c r="J130" s="1"/>
    </row>
    <row x14ac:dyDescent="0.25" r="131" customHeight="1" ht="18.75">
      <c r="A131" s="106"/>
      <c r="B131" s="189"/>
      <c r="C131" s="81"/>
      <c r="D131" s="81"/>
      <c r="E131" s="81"/>
      <c r="F131" s="81"/>
      <c r="G131" s="81"/>
      <c r="H131" s="81"/>
      <c r="I131" s="1"/>
      <c r="J131" s="1"/>
    </row>
    <row x14ac:dyDescent="0.25" r="132" customHeight="1" ht="18.75">
      <c r="A132" s="106"/>
      <c r="B132" s="189"/>
      <c r="C132" s="81"/>
      <c r="D132" s="81"/>
      <c r="E132" s="81"/>
      <c r="F132" s="81"/>
      <c r="G132" s="81"/>
      <c r="H132" s="81"/>
      <c r="I132" s="1"/>
      <c r="J132" s="1"/>
    </row>
    <row x14ac:dyDescent="0.25" r="133" customHeight="1" ht="18.75">
      <c r="A133" s="106"/>
      <c r="B133" s="189"/>
      <c r="C133" s="81"/>
      <c r="D133" s="81"/>
      <c r="E133" s="81"/>
      <c r="F133" s="81"/>
      <c r="G133" s="81"/>
      <c r="H133" s="81"/>
      <c r="I133" s="1"/>
      <c r="J133" s="1"/>
    </row>
    <row x14ac:dyDescent="0.25" r="134" customHeight="1" ht="18.75">
      <c r="A134" s="106"/>
      <c r="B134" s="189"/>
      <c r="C134" s="81"/>
      <c r="D134" s="81"/>
      <c r="E134" s="81"/>
      <c r="F134" s="81"/>
      <c r="G134" s="81"/>
      <c r="H134" s="81"/>
      <c r="I134" s="1"/>
      <c r="J134" s="1"/>
    </row>
    <row x14ac:dyDescent="0.25" r="135" customHeight="1" ht="18.75">
      <c r="A135" s="106"/>
      <c r="B135" s="189"/>
      <c r="C135" s="81"/>
      <c r="D135" s="81"/>
      <c r="E135" s="81"/>
      <c r="F135" s="81"/>
      <c r="G135" s="81"/>
      <c r="H135" s="81"/>
      <c r="I135" s="1"/>
      <c r="J135" s="1"/>
    </row>
    <row x14ac:dyDescent="0.25" r="136" customHeight="1" ht="18.75">
      <c r="A136" s="106"/>
      <c r="B136" s="189"/>
      <c r="C136" s="81"/>
      <c r="D136" s="81"/>
      <c r="E136" s="81"/>
      <c r="F136" s="81"/>
      <c r="G136" s="81"/>
      <c r="H136" s="81"/>
      <c r="I136" s="1"/>
      <c r="J136" s="1"/>
    </row>
    <row x14ac:dyDescent="0.25" r="137" customHeight="1" ht="18.75">
      <c r="A137" s="106"/>
      <c r="B137" s="189"/>
      <c r="C137" s="81"/>
      <c r="D137" s="81"/>
      <c r="E137" s="81"/>
      <c r="F137" s="81"/>
      <c r="G137" s="81"/>
      <c r="H137" s="81"/>
      <c r="I137" s="1"/>
      <c r="J137" s="1"/>
    </row>
    <row x14ac:dyDescent="0.25" r="138" customHeight="1" ht="18.75">
      <c r="A138" s="106"/>
      <c r="B138" s="189"/>
      <c r="C138" s="81"/>
      <c r="D138" s="81"/>
      <c r="E138" s="81"/>
      <c r="F138" s="81"/>
      <c r="G138" s="81"/>
      <c r="H138" s="81"/>
      <c r="I138" s="1"/>
      <c r="J138" s="1"/>
    </row>
    <row x14ac:dyDescent="0.25" r="139" customHeight="1" ht="18.75">
      <c r="A139" s="106"/>
      <c r="B139" s="189"/>
      <c r="C139" s="81"/>
      <c r="D139" s="81"/>
      <c r="E139" s="81"/>
      <c r="F139" s="81"/>
      <c r="G139" s="81"/>
      <c r="H139" s="81"/>
      <c r="I139" s="1"/>
      <c r="J139" s="1"/>
    </row>
    <row x14ac:dyDescent="0.25" r="140" customHeight="1" ht="18.75">
      <c r="A140" s="106"/>
      <c r="B140" s="189"/>
      <c r="C140" s="81"/>
      <c r="D140" s="81"/>
      <c r="E140" s="81"/>
      <c r="F140" s="81"/>
      <c r="G140" s="81"/>
      <c r="H140" s="81"/>
      <c r="I140" s="1"/>
      <c r="J140" s="1"/>
    </row>
    <row x14ac:dyDescent="0.25" r="141" customHeight="1" ht="18.75">
      <c r="A141" s="106"/>
      <c r="B141" s="189"/>
      <c r="C141" s="81"/>
      <c r="D141" s="81"/>
      <c r="E141" s="81"/>
      <c r="F141" s="81"/>
      <c r="G141" s="81"/>
      <c r="H141" s="81"/>
      <c r="I141" s="1"/>
      <c r="J141" s="1"/>
    </row>
    <row x14ac:dyDescent="0.25" r="142" customHeight="1" ht="18.75">
      <c r="A142" s="106"/>
      <c r="B142" s="189"/>
      <c r="C142" s="81"/>
      <c r="D142" s="81"/>
      <c r="E142" s="81"/>
      <c r="F142" s="81"/>
      <c r="G142" s="81"/>
      <c r="H142" s="81"/>
      <c r="I142" s="1"/>
      <c r="J142" s="1"/>
    </row>
    <row x14ac:dyDescent="0.25" r="143" customHeight="1" ht="18.75">
      <c r="A143" s="106"/>
      <c r="B143" s="189"/>
      <c r="C143" s="81"/>
      <c r="D143" s="81"/>
      <c r="E143" s="81"/>
      <c r="F143" s="81"/>
      <c r="G143" s="81"/>
      <c r="H143" s="81"/>
      <c r="I143" s="1"/>
      <c r="J143" s="1"/>
    </row>
    <row x14ac:dyDescent="0.25" r="144" customHeight="1" ht="18.75">
      <c r="A144" s="106"/>
      <c r="B144" s="189"/>
      <c r="C144" s="81"/>
      <c r="D144" s="81"/>
      <c r="E144" s="81"/>
      <c r="F144" s="81"/>
      <c r="G144" s="81"/>
      <c r="H144" s="81"/>
      <c r="I144" s="1"/>
      <c r="J144" s="1"/>
    </row>
    <row x14ac:dyDescent="0.25" r="145" customHeight="1" ht="18.75">
      <c r="A145" s="106"/>
      <c r="B145" s="189"/>
      <c r="C145" s="81"/>
      <c r="D145" s="81"/>
      <c r="E145" s="81"/>
      <c r="F145" s="81"/>
      <c r="G145" s="81"/>
      <c r="H145" s="81"/>
      <c r="I145" s="1"/>
      <c r="J145" s="1"/>
    </row>
    <row x14ac:dyDescent="0.25" r="146" customHeight="1" ht="18.75">
      <c r="A146" s="106"/>
      <c r="B146" s="189"/>
      <c r="C146" s="81"/>
      <c r="D146" s="81"/>
      <c r="E146" s="81"/>
      <c r="F146" s="81"/>
      <c r="G146" s="81"/>
      <c r="H146" s="81"/>
      <c r="I146" s="1"/>
      <c r="J146" s="1"/>
    </row>
    <row x14ac:dyDescent="0.25" r="147" customHeight="1" ht="18.75">
      <c r="A147" s="106"/>
      <c r="B147" s="189"/>
      <c r="C147" s="81"/>
      <c r="D147" s="81"/>
      <c r="E147" s="81"/>
      <c r="F147" s="81"/>
      <c r="G147" s="81"/>
      <c r="H147" s="81"/>
      <c r="I147" s="1"/>
      <c r="J147" s="1"/>
    </row>
    <row x14ac:dyDescent="0.25" r="148" customHeight="1" ht="18.75">
      <c r="A148" s="106"/>
      <c r="B148" s="189"/>
      <c r="C148" s="81"/>
      <c r="D148" s="81"/>
      <c r="E148" s="81"/>
      <c r="F148" s="81"/>
      <c r="G148" s="81"/>
      <c r="H148" s="81"/>
      <c r="I148" s="1"/>
      <c r="J148" s="1"/>
    </row>
    <row x14ac:dyDescent="0.25" r="149" customHeight="1" ht="18.75">
      <c r="A149" s="106"/>
      <c r="B149" s="189"/>
      <c r="C149" s="81"/>
      <c r="D149" s="81"/>
      <c r="E149" s="81"/>
      <c r="F149" s="81"/>
      <c r="G149" s="81"/>
      <c r="H149" s="81"/>
      <c r="I149" s="1"/>
      <c r="J149" s="1"/>
    </row>
    <row x14ac:dyDescent="0.25" r="150" customHeight="1" ht="18.75">
      <c r="A150" s="106"/>
      <c r="B150" s="189"/>
      <c r="C150" s="81"/>
      <c r="D150" s="81"/>
      <c r="E150" s="81"/>
      <c r="F150" s="81"/>
      <c r="G150" s="81"/>
      <c r="H150" s="81"/>
      <c r="I150" s="1"/>
      <c r="J150" s="1"/>
    </row>
    <row x14ac:dyDescent="0.25" r="151" customHeight="1" ht="18.75">
      <c r="A151" s="106"/>
      <c r="B151" s="189"/>
      <c r="C151" s="81"/>
      <c r="D151" s="81"/>
      <c r="E151" s="81"/>
      <c r="F151" s="81"/>
      <c r="G151" s="81"/>
      <c r="H151" s="81"/>
      <c r="I151" s="1"/>
      <c r="J151" s="1"/>
    </row>
    <row x14ac:dyDescent="0.25" r="152" customHeight="1" ht="18.75">
      <c r="A152" s="106"/>
      <c r="B152" s="189"/>
      <c r="C152" s="81"/>
      <c r="D152" s="81"/>
      <c r="E152" s="81"/>
      <c r="F152" s="81"/>
      <c r="G152" s="81"/>
      <c r="H152" s="81"/>
      <c r="I152" s="1"/>
      <c r="J152" s="1"/>
    </row>
    <row x14ac:dyDescent="0.25" r="153" customHeight="1" ht="18.75">
      <c r="A153" s="106"/>
      <c r="B153" s="189"/>
      <c r="C153" s="81"/>
      <c r="D153" s="81"/>
      <c r="E153" s="81"/>
      <c r="F153" s="81"/>
      <c r="G153" s="81"/>
      <c r="H153" s="81"/>
      <c r="I153" s="1"/>
      <c r="J153" s="1"/>
    </row>
    <row x14ac:dyDescent="0.25" r="154" customHeight="1" ht="18.75">
      <c r="A154" s="106"/>
      <c r="B154" s="189"/>
      <c r="C154" s="81"/>
      <c r="D154" s="81"/>
      <c r="E154" s="81"/>
      <c r="F154" s="81"/>
      <c r="G154" s="81"/>
      <c r="H154" s="81"/>
      <c r="I154" s="1"/>
      <c r="J154" s="1"/>
    </row>
    <row x14ac:dyDescent="0.25" r="155" customHeight="1" ht="18.75">
      <c r="A155" s="106"/>
      <c r="B155" s="189"/>
      <c r="C155" s="81"/>
      <c r="D155" s="81"/>
      <c r="E155" s="81"/>
      <c r="F155" s="81"/>
      <c r="G155" s="81"/>
      <c r="H155" s="81"/>
      <c r="I155" s="1"/>
      <c r="J155" s="1"/>
    </row>
    <row x14ac:dyDescent="0.25" r="156" customHeight="1" ht="18.75">
      <c r="A156" s="106"/>
      <c r="B156" s="189"/>
      <c r="C156" s="81"/>
      <c r="D156" s="81"/>
      <c r="E156" s="81"/>
      <c r="F156" s="81"/>
      <c r="G156" s="81"/>
      <c r="H156" s="81"/>
      <c r="I156" s="1"/>
      <c r="J156" s="1"/>
    </row>
    <row x14ac:dyDescent="0.25" r="157" customHeight="1" ht="18.75">
      <c r="A157" s="106"/>
      <c r="B157" s="189"/>
      <c r="C157" s="81"/>
      <c r="D157" s="81"/>
      <c r="E157" s="81"/>
      <c r="F157" s="81"/>
      <c r="G157" s="81"/>
      <c r="H157" s="81"/>
      <c r="I157" s="1"/>
      <c r="J157" s="1"/>
    </row>
    <row x14ac:dyDescent="0.25" r="158" customHeight="1" ht="18.75">
      <c r="A158" s="106"/>
      <c r="B158" s="189"/>
      <c r="C158" s="81"/>
      <c r="D158" s="81"/>
      <c r="E158" s="81"/>
      <c r="F158" s="81"/>
      <c r="G158" s="81"/>
      <c r="H158" s="81"/>
      <c r="I158" s="1"/>
      <c r="J158" s="1"/>
    </row>
    <row x14ac:dyDescent="0.25" r="159" customHeight="1" ht="18.75">
      <c r="A159" s="106"/>
      <c r="B159" s="189"/>
      <c r="C159" s="81"/>
      <c r="D159" s="81"/>
      <c r="E159" s="81"/>
      <c r="F159" s="81"/>
      <c r="G159" s="81"/>
      <c r="H159" s="81"/>
      <c r="I159" s="1"/>
      <c r="J159" s="1"/>
    </row>
    <row x14ac:dyDescent="0.25" r="160" customHeight="1" ht="18.75">
      <c r="A160" s="106"/>
      <c r="B160" s="189"/>
      <c r="C160" s="81"/>
      <c r="D160" s="81"/>
      <c r="E160" s="81"/>
      <c r="F160" s="81"/>
      <c r="G160" s="81"/>
      <c r="H160" s="81"/>
      <c r="I160" s="1"/>
      <c r="J160" s="1"/>
    </row>
    <row x14ac:dyDescent="0.25" r="161" customHeight="1" ht="18.75">
      <c r="A161" s="106"/>
      <c r="B161" s="189"/>
      <c r="C161" s="81"/>
      <c r="D161" s="81"/>
      <c r="E161" s="81"/>
      <c r="F161" s="81"/>
      <c r="G161" s="81"/>
      <c r="H161" s="81"/>
      <c r="I161" s="1"/>
      <c r="J161" s="1"/>
    </row>
    <row x14ac:dyDescent="0.25" r="162" customHeight="1" ht="18.75">
      <c r="A162" s="106"/>
      <c r="B162" s="189"/>
      <c r="C162" s="81"/>
      <c r="D162" s="81"/>
      <c r="E162" s="81"/>
      <c r="F162" s="81"/>
      <c r="G162" s="81"/>
      <c r="H162" s="81"/>
      <c r="I162" s="1"/>
      <c r="J162" s="1"/>
    </row>
    <row x14ac:dyDescent="0.25" r="163" customHeight="1" ht="18.75">
      <c r="A163" s="106"/>
      <c r="B163" s="189"/>
      <c r="C163" s="81"/>
      <c r="D163" s="81"/>
      <c r="E163" s="81"/>
      <c r="F163" s="81"/>
      <c r="G163" s="81"/>
      <c r="H163" s="81"/>
      <c r="I163" s="1"/>
      <c r="J163" s="1"/>
    </row>
    <row x14ac:dyDescent="0.25" r="164" customHeight="1" ht="18.75">
      <c r="A164" s="106"/>
      <c r="B164" s="189"/>
      <c r="C164" s="81"/>
      <c r="D164" s="81"/>
      <c r="E164" s="81"/>
      <c r="F164" s="81"/>
      <c r="G164" s="81"/>
      <c r="H164" s="81"/>
      <c r="I164" s="1"/>
      <c r="J164" s="1"/>
    </row>
    <row x14ac:dyDescent="0.25" r="165" customHeight="1" ht="18.75">
      <c r="A165" s="106"/>
      <c r="B165" s="189"/>
      <c r="C165" s="81"/>
      <c r="D165" s="81"/>
      <c r="E165" s="81"/>
      <c r="F165" s="81"/>
      <c r="G165" s="81"/>
      <c r="H165" s="81"/>
      <c r="I165" s="1"/>
      <c r="J165" s="1"/>
    </row>
    <row x14ac:dyDescent="0.25" r="166" customHeight="1" ht="18.75">
      <c r="A166" s="106"/>
      <c r="B166" s="189"/>
      <c r="C166" s="81"/>
      <c r="D166" s="81"/>
      <c r="E166" s="81"/>
      <c r="F166" s="81"/>
      <c r="G166" s="81"/>
      <c r="H166" s="81"/>
      <c r="I166" s="1"/>
      <c r="J166" s="1"/>
    </row>
    <row x14ac:dyDescent="0.25" r="167" customHeight="1" ht="18.75">
      <c r="A167" s="106"/>
      <c r="B167" s="189"/>
      <c r="C167" s="81"/>
      <c r="D167" s="81"/>
      <c r="E167" s="81"/>
      <c r="F167" s="81"/>
      <c r="G167" s="81"/>
      <c r="H167" s="81"/>
      <c r="I167" s="1"/>
      <c r="J167" s="1"/>
    </row>
    <row x14ac:dyDescent="0.25" r="168" customHeight="1" ht="18.75">
      <c r="A168" s="106"/>
      <c r="B168" s="189"/>
      <c r="C168" s="81"/>
      <c r="D168" s="81"/>
      <c r="E168" s="81"/>
      <c r="F168" s="81"/>
      <c r="G168" s="81"/>
      <c r="H168" s="81"/>
      <c r="I168" s="1"/>
      <c r="J168" s="1"/>
    </row>
    <row x14ac:dyDescent="0.25" r="169" customHeight="1" ht="18.75">
      <c r="A169" s="106"/>
      <c r="B169" s="189"/>
      <c r="C169" s="81"/>
      <c r="D169" s="81"/>
      <c r="E169" s="81"/>
      <c r="F169" s="81"/>
      <c r="G169" s="81"/>
      <c r="H169" s="81"/>
      <c r="I169" s="1"/>
      <c r="J169" s="1"/>
    </row>
    <row x14ac:dyDescent="0.25" r="170" customHeight="1" ht="18.75">
      <c r="A170" s="106"/>
      <c r="B170" s="189"/>
      <c r="C170" s="81"/>
      <c r="D170" s="81"/>
      <c r="E170" s="81"/>
      <c r="F170" s="81"/>
      <c r="G170" s="81"/>
      <c r="H170" s="81"/>
      <c r="I170" s="1"/>
      <c r="J170" s="1"/>
    </row>
    <row x14ac:dyDescent="0.25" r="171" customHeight="1" ht="18.75">
      <c r="A171" s="106"/>
      <c r="B171" s="189"/>
      <c r="C171" s="81"/>
      <c r="D171" s="81"/>
      <c r="E171" s="81"/>
      <c r="F171" s="81"/>
      <c r="G171" s="81"/>
      <c r="H171" s="81"/>
      <c r="I171" s="1"/>
      <c r="J171" s="1"/>
    </row>
    <row x14ac:dyDescent="0.25" r="172" customHeight="1" ht="18.75">
      <c r="A172" s="106"/>
      <c r="B172" s="189"/>
      <c r="C172" s="81"/>
      <c r="D172" s="81"/>
      <c r="E172" s="81"/>
      <c r="F172" s="81"/>
      <c r="G172" s="81"/>
      <c r="H172" s="81"/>
      <c r="I172" s="1"/>
      <c r="J172" s="1"/>
    </row>
    <row x14ac:dyDescent="0.25" r="173" customHeight="1" ht="18.75">
      <c r="A173" s="106"/>
      <c r="B173" s="189"/>
      <c r="C173" s="81"/>
      <c r="D173" s="81"/>
      <c r="E173" s="81"/>
      <c r="F173" s="81"/>
      <c r="G173" s="81"/>
      <c r="H173" s="81"/>
      <c r="I173" s="1"/>
      <c r="J173" s="1"/>
    </row>
    <row x14ac:dyDescent="0.25" r="174" customHeight="1" ht="18.75">
      <c r="A174" s="106"/>
      <c r="B174" s="189"/>
      <c r="C174" s="81"/>
      <c r="D174" s="81"/>
      <c r="E174" s="81"/>
      <c r="F174" s="81"/>
      <c r="G174" s="81"/>
      <c r="H174" s="81"/>
      <c r="I174" s="1"/>
      <c r="J174" s="1"/>
    </row>
    <row x14ac:dyDescent="0.25" r="175" customHeight="1" ht="18.75">
      <c r="A175" s="106"/>
      <c r="B175" s="189"/>
      <c r="C175" s="81"/>
      <c r="D175" s="81"/>
      <c r="E175" s="81"/>
      <c r="F175" s="81"/>
      <c r="G175" s="81"/>
      <c r="H175" s="81"/>
      <c r="I175" s="1"/>
      <c r="J175" s="1"/>
    </row>
    <row x14ac:dyDescent="0.25" r="176" customHeight="1" ht="18.75">
      <c r="A176" s="106"/>
      <c r="B176" s="189"/>
      <c r="C176" s="81"/>
      <c r="D176" s="81"/>
      <c r="E176" s="81"/>
      <c r="F176" s="81"/>
      <c r="G176" s="81"/>
      <c r="H176" s="81"/>
      <c r="I176" s="1"/>
      <c r="J176" s="1"/>
    </row>
    <row x14ac:dyDescent="0.25" r="177" customHeight="1" ht="18.75">
      <c r="A177" s="106"/>
      <c r="B177" s="189"/>
      <c r="C177" s="81"/>
      <c r="D177" s="81"/>
      <c r="E177" s="81"/>
      <c r="F177" s="81"/>
      <c r="G177" s="81"/>
      <c r="H177" s="81"/>
      <c r="I177" s="1"/>
      <c r="J177" s="1"/>
    </row>
    <row x14ac:dyDescent="0.25" r="178" customHeight="1" ht="18.75">
      <c r="A178" s="106"/>
      <c r="B178" s="189"/>
      <c r="C178" s="81"/>
      <c r="D178" s="81"/>
      <c r="E178" s="81"/>
      <c r="F178" s="81"/>
      <c r="G178" s="81"/>
      <c r="H178" s="81"/>
      <c r="I178" s="1"/>
      <c r="J178" s="1"/>
    </row>
    <row x14ac:dyDescent="0.25" r="179" customHeight="1" ht="18.75">
      <c r="A179" s="106"/>
      <c r="B179" s="189"/>
      <c r="C179" s="81"/>
      <c r="D179" s="81"/>
      <c r="E179" s="81"/>
      <c r="F179" s="81"/>
      <c r="G179" s="81"/>
      <c r="H179" s="81"/>
      <c r="I179" s="1"/>
      <c r="J179" s="1"/>
    </row>
    <row x14ac:dyDescent="0.25" r="180" customHeight="1" ht="18.75">
      <c r="A180" s="106"/>
      <c r="B180" s="189"/>
      <c r="C180" s="81"/>
      <c r="D180" s="81"/>
      <c r="E180" s="81"/>
      <c r="F180" s="81"/>
      <c r="G180" s="81"/>
      <c r="H180" s="81"/>
      <c r="I180" s="1"/>
      <c r="J180" s="1"/>
    </row>
    <row x14ac:dyDescent="0.25" r="181" customHeight="1" ht="18.75">
      <c r="A181" s="106"/>
      <c r="B181" s="189"/>
      <c r="C181" s="81"/>
      <c r="D181" s="81"/>
      <c r="E181" s="81"/>
      <c r="F181" s="81"/>
      <c r="G181" s="81"/>
      <c r="H181" s="81"/>
      <c r="I181" s="1"/>
      <c r="J181" s="1"/>
    </row>
    <row x14ac:dyDescent="0.25" r="182" customHeight="1" ht="18.75">
      <c r="A182" s="106"/>
      <c r="B182" s="189"/>
      <c r="C182" s="81"/>
      <c r="D182" s="81"/>
      <c r="E182" s="81"/>
      <c r="F182" s="81"/>
      <c r="G182" s="81"/>
      <c r="H182" s="81"/>
      <c r="I182" s="1"/>
      <c r="J182" s="1"/>
    </row>
    <row x14ac:dyDescent="0.25" r="183" customHeight="1" ht="18.75">
      <c r="A183" s="106"/>
      <c r="B183" s="189"/>
      <c r="C183" s="81"/>
      <c r="D183" s="81"/>
      <c r="E183" s="81"/>
      <c r="F183" s="81"/>
      <c r="G183" s="81"/>
      <c r="H183" s="81"/>
      <c r="I183" s="1"/>
      <c r="J183" s="1"/>
    </row>
    <row x14ac:dyDescent="0.25" r="184" customHeight="1" ht="18.75">
      <c r="A184" s="106"/>
      <c r="B184" s="189"/>
      <c r="C184" s="81"/>
      <c r="D184" s="81"/>
      <c r="E184" s="81"/>
      <c r="F184" s="81"/>
      <c r="G184" s="81"/>
      <c r="H184" s="81"/>
      <c r="I184" s="1"/>
      <c r="J184" s="1"/>
    </row>
    <row x14ac:dyDescent="0.25" r="185" customHeight="1" ht="18.75">
      <c r="A185" s="106"/>
      <c r="B185" s="189"/>
      <c r="C185" s="81"/>
      <c r="D185" s="81"/>
      <c r="E185" s="81"/>
      <c r="F185" s="81"/>
      <c r="G185" s="81"/>
      <c r="H185" s="81"/>
      <c r="I185" s="1"/>
      <c r="J185" s="1"/>
    </row>
    <row x14ac:dyDescent="0.25" r="186" customHeight="1" ht="18.75">
      <c r="A186" s="106"/>
      <c r="B186" s="189"/>
      <c r="C186" s="81"/>
      <c r="D186" s="81"/>
      <c r="E186" s="81"/>
      <c r="F186" s="81"/>
      <c r="G186" s="81"/>
      <c r="H186" s="81"/>
      <c r="I186" s="1"/>
      <c r="J186" s="1"/>
    </row>
    <row x14ac:dyDescent="0.25" r="187" customHeight="1" ht="18.75">
      <c r="A187" s="106"/>
      <c r="B187" s="189"/>
      <c r="C187" s="81"/>
      <c r="D187" s="81"/>
      <c r="E187" s="81"/>
      <c r="F187" s="81"/>
      <c r="G187" s="81"/>
      <c r="H187" s="81"/>
      <c r="I187" s="1"/>
      <c r="J187" s="1"/>
    </row>
    <row x14ac:dyDescent="0.25" r="188" customHeight="1" ht="18.75">
      <c r="A188" s="106"/>
      <c r="B188" s="189"/>
      <c r="C188" s="81"/>
      <c r="D188" s="81"/>
      <c r="E188" s="81"/>
      <c r="F188" s="81"/>
      <c r="G188" s="81"/>
      <c r="H188" s="81"/>
      <c r="I188" s="1"/>
      <c r="J188" s="1"/>
    </row>
    <row x14ac:dyDescent="0.25" r="189" customHeight="1" ht="18.75">
      <c r="A189" s="106"/>
      <c r="B189" s="189"/>
      <c r="C189" s="81"/>
      <c r="D189" s="81"/>
      <c r="E189" s="81"/>
      <c r="F189" s="81"/>
      <c r="G189" s="81"/>
      <c r="H189" s="81"/>
      <c r="I189" s="1"/>
      <c r="J189" s="1"/>
    </row>
    <row x14ac:dyDescent="0.25" r="190" customHeight="1" ht="18.75">
      <c r="A190" s="106"/>
      <c r="B190" s="189"/>
      <c r="C190" s="81"/>
      <c r="D190" s="81"/>
      <c r="E190" s="81"/>
      <c r="F190" s="81"/>
      <c r="G190" s="81"/>
      <c r="H190" s="81"/>
      <c r="I190" s="1"/>
      <c r="J190" s="1"/>
    </row>
    <row x14ac:dyDescent="0.25" r="191" customHeight="1" ht="18.75">
      <c r="A191" s="106"/>
      <c r="B191" s="189"/>
      <c r="C191" s="81"/>
      <c r="D191" s="81"/>
      <c r="E191" s="81"/>
      <c r="F191" s="81"/>
      <c r="G191" s="81"/>
      <c r="H191" s="81"/>
      <c r="I191" s="1"/>
      <c r="J191" s="1"/>
    </row>
    <row x14ac:dyDescent="0.25" r="192" customHeight="1" ht="18.75">
      <c r="A192" s="106"/>
      <c r="B192" s="189"/>
      <c r="C192" s="81"/>
      <c r="D192" s="81"/>
      <c r="E192" s="81"/>
      <c r="F192" s="81"/>
      <c r="G192" s="81"/>
      <c r="H192" s="81"/>
      <c r="I192" s="1"/>
      <c r="J192" s="1"/>
    </row>
    <row x14ac:dyDescent="0.25" r="193" customHeight="1" ht="18.75">
      <c r="A193" s="106"/>
      <c r="B193" s="189"/>
      <c r="C193" s="81"/>
      <c r="D193" s="81"/>
      <c r="E193" s="81"/>
      <c r="F193" s="81"/>
      <c r="G193" s="81"/>
      <c r="H193" s="81"/>
      <c r="I193" s="1"/>
      <c r="J193" s="1"/>
    </row>
    <row x14ac:dyDescent="0.25" r="194" customHeight="1" ht="18.75">
      <c r="A194" s="106"/>
      <c r="B194" s="189"/>
      <c r="C194" s="81"/>
      <c r="D194" s="81"/>
      <c r="E194" s="81"/>
      <c r="F194" s="81"/>
      <c r="G194" s="81"/>
      <c r="H194" s="81"/>
      <c r="I194" s="1"/>
      <c r="J194" s="1"/>
    </row>
    <row x14ac:dyDescent="0.25" r="195" customHeight="1" ht="18.75">
      <c r="A195" s="106"/>
      <c r="B195" s="189"/>
      <c r="C195" s="81"/>
      <c r="D195" s="81"/>
      <c r="E195" s="81"/>
      <c r="F195" s="81"/>
      <c r="G195" s="81"/>
      <c r="H195" s="81"/>
      <c r="I195" s="1"/>
      <c r="J195" s="1"/>
    </row>
    <row x14ac:dyDescent="0.25" r="196" customHeight="1" ht="18.75">
      <c r="A196" s="106"/>
      <c r="B196" s="189"/>
      <c r="C196" s="81"/>
      <c r="D196" s="81"/>
      <c r="E196" s="81"/>
      <c r="F196" s="81"/>
      <c r="G196" s="81"/>
      <c r="H196" s="81"/>
      <c r="I196" s="1"/>
      <c r="J196" s="1"/>
    </row>
    <row x14ac:dyDescent="0.25" r="197" customHeight="1" ht="18.75">
      <c r="A197" s="106"/>
      <c r="B197" s="189"/>
      <c r="C197" s="81"/>
      <c r="D197" s="81"/>
      <c r="E197" s="81"/>
      <c r="F197" s="81"/>
      <c r="G197" s="81"/>
      <c r="H197" s="81"/>
      <c r="I197" s="1"/>
      <c r="J197" s="1"/>
    </row>
    <row x14ac:dyDescent="0.25" r="198" customHeight="1" ht="18.75">
      <c r="A198" s="106"/>
      <c r="B198" s="189"/>
      <c r="C198" s="81"/>
      <c r="D198" s="81"/>
      <c r="E198" s="81"/>
      <c r="F198" s="81"/>
      <c r="G198" s="81"/>
      <c r="H198" s="81"/>
      <c r="I198" s="1"/>
      <c r="J198" s="1"/>
    </row>
    <row x14ac:dyDescent="0.25" r="199" customHeight="1" ht="18.75">
      <c r="A199" s="106"/>
      <c r="B199" s="189"/>
      <c r="C199" s="81"/>
      <c r="D199" s="81"/>
      <c r="E199" s="81"/>
      <c r="F199" s="81"/>
      <c r="G199" s="81"/>
      <c r="H199" s="81"/>
      <c r="I199" s="1"/>
      <c r="J199" s="1"/>
    </row>
    <row x14ac:dyDescent="0.25" r="200" customHeight="1" ht="18.75">
      <c r="A200" s="106"/>
      <c r="B200" s="189"/>
      <c r="C200" s="81"/>
      <c r="D200" s="81"/>
      <c r="E200" s="81"/>
      <c r="F200" s="81"/>
      <c r="G200" s="81"/>
      <c r="H200" s="81"/>
      <c r="I200" s="1"/>
      <c r="J200" s="1"/>
    </row>
    <row x14ac:dyDescent="0.25" r="201" customHeight="1" ht="18.75">
      <c r="A201" s="106"/>
      <c r="B201" s="189"/>
      <c r="C201" s="81"/>
      <c r="D201" s="81"/>
      <c r="E201" s="81"/>
      <c r="F201" s="81"/>
      <c r="G201" s="81"/>
      <c r="H201" s="81"/>
      <c r="I201" s="1"/>
      <c r="J201" s="1"/>
    </row>
    <row x14ac:dyDescent="0.25" r="202" customHeight="1" ht="18.75">
      <c r="A202" s="106"/>
      <c r="B202" s="189"/>
      <c r="C202" s="81"/>
      <c r="D202" s="81"/>
      <c r="E202" s="81"/>
      <c r="F202" s="81"/>
      <c r="G202" s="81"/>
      <c r="H202" s="81"/>
      <c r="I202" s="1"/>
      <c r="J202" s="1"/>
    </row>
    <row x14ac:dyDescent="0.25" r="203" customHeight="1" ht="18.75">
      <c r="A203" s="106"/>
      <c r="B203" s="189"/>
      <c r="C203" s="81"/>
      <c r="D203" s="81"/>
      <c r="E203" s="81"/>
      <c r="F203" s="81"/>
      <c r="G203" s="81"/>
      <c r="H203" s="81"/>
      <c r="I203" s="1"/>
      <c r="J203" s="1"/>
    </row>
  </sheetData>
  <mergeCells count="33">
    <mergeCell ref="A4:H4"/>
    <mergeCell ref="A8:B8"/>
    <mergeCell ref="A12:B12"/>
    <mergeCell ref="A13:B13"/>
    <mergeCell ref="A17:B17"/>
    <mergeCell ref="A21:B21"/>
    <mergeCell ref="A25:B25"/>
    <mergeCell ref="A29:B29"/>
    <mergeCell ref="A32:B32"/>
    <mergeCell ref="A33:B33"/>
    <mergeCell ref="A37:B37"/>
    <mergeCell ref="A41:B41"/>
    <mergeCell ref="A45:B45"/>
    <mergeCell ref="A46:B46"/>
    <mergeCell ref="A48:B48"/>
    <mergeCell ref="A50:B50"/>
    <mergeCell ref="A52:B52"/>
    <mergeCell ref="A54:B54"/>
    <mergeCell ref="A57:B57"/>
    <mergeCell ref="A58:B58"/>
    <mergeCell ref="A60:B60"/>
    <mergeCell ref="A62:B62"/>
    <mergeCell ref="A64:B64"/>
    <mergeCell ref="A66:B66"/>
    <mergeCell ref="A69:B69"/>
    <mergeCell ref="A70:B70"/>
    <mergeCell ref="A71:B71"/>
    <mergeCell ref="A75:B75"/>
    <mergeCell ref="A76:B76"/>
    <mergeCell ref="A77:B77"/>
    <mergeCell ref="A80:B80"/>
    <mergeCell ref="A82:B82"/>
    <mergeCell ref="A84:B8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40"/>
  <sheetViews>
    <sheetView workbookViewId="0"/>
  </sheetViews>
  <sheetFormatPr defaultRowHeight="15" x14ac:dyDescent="0.25"/>
  <cols>
    <col min="1" max="1" style="9" width="40.57642857142857" customWidth="1" bestFit="1"/>
    <col min="2" max="2" style="191" width="7.862142857142857" customWidth="1" bestFit="1"/>
    <col min="3" max="3" style="190" width="13.576428571428572" customWidth="1" bestFit="1"/>
    <col min="4" max="4" style="190" width="13.576428571428572" customWidth="1" bestFit="1"/>
    <col min="5" max="5" style="190" width="13.576428571428572" customWidth="1" bestFit="1"/>
    <col min="6" max="6" style="190" width="13.576428571428572" customWidth="1" bestFit="1"/>
    <col min="7" max="7" style="190" width="13.576428571428572" customWidth="1" bestFit="1"/>
    <col min="8" max="8" style="190" width="13.576428571428572" customWidth="1" bestFit="1"/>
    <col min="9" max="9" style="9" width="13.576428571428572" customWidth="1" bestFit="1"/>
  </cols>
  <sheetData>
    <row x14ac:dyDescent="0.25" r="1" customHeight="1" ht="18.75">
      <c r="A1" s="411"/>
      <c r="B1" s="412"/>
      <c r="C1" s="226"/>
      <c r="D1" s="226"/>
      <c r="E1" s="226"/>
      <c r="F1" s="226"/>
      <c r="G1" s="227" t="s">
        <v>386</v>
      </c>
      <c r="H1" s="259">
        <f>+Pressupostos!E1</f>
      </c>
      <c r="I1" s="1"/>
    </row>
    <row x14ac:dyDescent="0.25" r="2" customHeight="1" ht="18.75">
      <c r="A2" s="16"/>
      <c r="B2" s="280"/>
      <c r="C2" s="226"/>
      <c r="D2" s="226"/>
      <c r="E2" s="226"/>
      <c r="F2" s="226"/>
      <c r="G2" s="226"/>
      <c r="H2" s="30">
        <f>+Pressupostos!B9</f>
      </c>
      <c r="I2" s="106"/>
    </row>
    <row x14ac:dyDescent="0.25" r="3" customHeight="1" ht="18.75">
      <c r="A3" s="16"/>
      <c r="B3" s="280"/>
      <c r="C3" s="226"/>
      <c r="D3" s="226"/>
      <c r="E3" s="226"/>
      <c r="F3" s="226"/>
      <c r="G3" s="226"/>
      <c r="H3" s="30"/>
      <c r="I3" s="106"/>
    </row>
    <row x14ac:dyDescent="0.25" r="4" customHeight="1" ht="18.75">
      <c r="A4" s="20" t="s">
        <v>387</v>
      </c>
      <c r="B4" s="46"/>
      <c r="C4" s="45"/>
      <c r="D4" s="45"/>
      <c r="E4" s="45"/>
      <c r="F4" s="45"/>
      <c r="G4" s="45"/>
      <c r="H4" s="45"/>
      <c r="I4" s="106"/>
    </row>
    <row x14ac:dyDescent="0.25" r="5" customHeight="1" ht="18.75">
      <c r="A5" s="350"/>
      <c r="B5" s="282"/>
      <c r="C5" s="281"/>
      <c r="D5" s="281"/>
      <c r="E5" s="281"/>
      <c r="F5" s="281"/>
      <c r="G5" s="281"/>
      <c r="H5" s="281"/>
      <c r="I5" s="106"/>
    </row>
    <row x14ac:dyDescent="0.25" r="6" customHeight="1" ht="18.75">
      <c r="A6" s="12"/>
      <c r="B6" s="44"/>
      <c r="C6" s="38"/>
      <c r="D6" s="38"/>
      <c r="E6" s="38"/>
      <c r="F6" s="38"/>
      <c r="G6" s="38"/>
      <c r="H6" s="38"/>
      <c r="I6" s="106"/>
    </row>
    <row x14ac:dyDescent="0.25" r="7" customHeight="1" ht="18.75">
      <c r="A7" s="413" t="s">
        <v>192</v>
      </c>
      <c r="B7" s="414" t="s">
        <v>388</v>
      </c>
      <c r="C7" s="49">
        <f>+VN!C8</f>
      </c>
      <c r="D7" s="49">
        <f>+VN!D8</f>
      </c>
      <c r="E7" s="49">
        <f>+VN!E8</f>
      </c>
      <c r="F7" s="49">
        <f>+VN!F8</f>
      </c>
      <c r="G7" s="49">
        <f>+VN!G8</f>
      </c>
      <c r="H7" s="49">
        <f>+VN!H8</f>
      </c>
      <c r="I7" s="106"/>
    </row>
    <row x14ac:dyDescent="0.25" r="8" customHeight="1" ht="18.75">
      <c r="A8" s="413" t="s">
        <v>389</v>
      </c>
      <c r="B8" s="415"/>
      <c r="C8" s="56">
        <f>+SUM(C9:C12)</f>
      </c>
      <c r="D8" s="56">
        <f>+SUM(D9:D12)</f>
      </c>
      <c r="E8" s="56">
        <f>+SUM(E9:E12)</f>
      </c>
      <c r="F8" s="56">
        <f>+SUM(F9:F12)</f>
      </c>
      <c r="G8" s="56">
        <f>+SUM(G9:G12)</f>
      </c>
      <c r="H8" s="56">
        <f>+SUM(H9:H12)</f>
      </c>
      <c r="I8" s="106"/>
    </row>
    <row x14ac:dyDescent="0.25" r="9" customHeight="1" ht="18.75">
      <c r="A9" s="255">
        <f>+VN!A13</f>
      </c>
      <c r="B9" s="306"/>
      <c r="C9" s="29">
        <f>VN!C13*(1-CMVMC!$B$9)</f>
      </c>
      <c r="D9" s="29">
        <f>VN!D13*(1-CMVMC!$B$9)</f>
      </c>
      <c r="E9" s="29">
        <f>VN!E13*(1-CMVMC!$B$9)</f>
      </c>
      <c r="F9" s="29">
        <f>VN!F13*(1-CMVMC!$B$9)</f>
      </c>
      <c r="G9" s="29">
        <f>VN!G13*(1-CMVMC!$B$9)</f>
      </c>
      <c r="H9" s="29">
        <f>VN!H13*(1-CMVMC!$B$9)</f>
      </c>
      <c r="I9" s="106"/>
    </row>
    <row x14ac:dyDescent="0.25" r="10" customHeight="1" ht="18.75">
      <c r="A10" s="255">
        <f>+VN!A17</f>
      </c>
      <c r="B10" s="306"/>
      <c r="C10" s="29">
        <f>VN!C17*(1-CMVMC!$B$10)</f>
      </c>
      <c r="D10" s="29">
        <f>VN!D17*(1-CMVMC!$B$10)</f>
      </c>
      <c r="E10" s="29">
        <f>VN!E17*(1-CMVMC!$B$10)</f>
      </c>
      <c r="F10" s="29">
        <f>VN!F17*(1-CMVMC!$B$10)</f>
      </c>
      <c r="G10" s="29">
        <f>VN!G17*(1-CMVMC!$B$10)</f>
      </c>
      <c r="H10" s="29">
        <f>VN!H17*(1-CMVMC!$B$10)</f>
      </c>
      <c r="I10" s="106"/>
    </row>
    <row x14ac:dyDescent="0.25" r="11" customHeight="1" ht="18.75">
      <c r="A11" s="255">
        <f>+VN!A21</f>
      </c>
      <c r="B11" s="416"/>
      <c r="C11" s="29">
        <f>VN!C21*(1-CMVMC!$B$11)</f>
      </c>
      <c r="D11" s="29">
        <f>VN!D21*(1-CMVMC!$B$11)</f>
      </c>
      <c r="E11" s="29">
        <f>VN!E21*(1-CMVMC!$B$11)</f>
      </c>
      <c r="F11" s="29">
        <f>VN!F21*(1-CMVMC!$B$11)</f>
      </c>
      <c r="G11" s="29">
        <f>VN!G21*(1-CMVMC!$B$11)</f>
      </c>
      <c r="H11" s="29">
        <f>VN!H21*(1-CMVMC!$B$11)</f>
      </c>
      <c r="I11" s="106"/>
    </row>
    <row x14ac:dyDescent="0.25" r="12" customHeight="1" ht="18.75">
      <c r="A12" s="255">
        <f>+VN!A25</f>
      </c>
      <c r="B12" s="416"/>
      <c r="C12" s="29">
        <f>VN!C25*(1-CMVMC!$B$12)</f>
      </c>
      <c r="D12" s="29">
        <f>VN!D25*(1-CMVMC!$B$12)</f>
      </c>
      <c r="E12" s="29">
        <f>VN!E25*(1-CMVMC!$B$12)</f>
      </c>
      <c r="F12" s="29">
        <f>VN!F25*(1-CMVMC!$B$12)</f>
      </c>
      <c r="G12" s="29">
        <f>VN!G25*(1-CMVMC!$B$12)</f>
      </c>
      <c r="H12" s="29">
        <f>VN!H25*(1-CMVMC!$B$12)</f>
      </c>
      <c r="I12" s="106"/>
    </row>
    <row x14ac:dyDescent="0.25" r="13" customHeight="1" ht="18.75">
      <c r="A13" s="413" t="s">
        <v>390</v>
      </c>
      <c r="B13" s="417"/>
      <c r="C13" s="201">
        <f>+C15+C14</f>
      </c>
      <c r="D13" s="201">
        <f>+D15+D14</f>
      </c>
      <c r="E13" s="201">
        <f>+E15+E14</f>
      </c>
      <c r="F13" s="201">
        <f>+F15+F14</f>
      </c>
      <c r="G13" s="201">
        <f>+G15+G14</f>
      </c>
      <c r="H13" s="201">
        <f>+H15+H14</f>
      </c>
      <c r="I13" s="106"/>
    </row>
    <row x14ac:dyDescent="0.25" r="14" customHeight="1" ht="18.75">
      <c r="A14" s="255">
        <f>+VN!A33</f>
      </c>
      <c r="B14" s="416"/>
      <c r="C14" s="29">
        <f>VN!C33*(1-CMVMC!$B$14)</f>
      </c>
      <c r="D14" s="29">
        <f>VN!D33*(1-CMVMC!$B$14)</f>
      </c>
      <c r="E14" s="29">
        <f>VN!E33*(1-CMVMC!$B$14)</f>
      </c>
      <c r="F14" s="29">
        <f>VN!F33*(1-CMVMC!$B$14)</f>
      </c>
      <c r="G14" s="29">
        <f>VN!G33*(1-CMVMC!$B$14)</f>
      </c>
      <c r="H14" s="29">
        <f>VN!H33*(1-CMVMC!$B$14)</f>
      </c>
      <c r="I14" s="106"/>
    </row>
    <row x14ac:dyDescent="0.25" r="15" customHeight="1" ht="18.75">
      <c r="A15" s="255">
        <f>+VN!A37</f>
      </c>
      <c r="B15" s="416"/>
      <c r="C15" s="29">
        <f>VN!C37*(1-CMVMC!$B$15)</f>
      </c>
      <c r="D15" s="29">
        <f>VN!D37*(1-CMVMC!$B$15)</f>
      </c>
      <c r="E15" s="29">
        <f>VN!E37*(1-CMVMC!$B$15)</f>
      </c>
      <c r="F15" s="29">
        <f>VN!F37*(1-CMVMC!$B$15)</f>
      </c>
      <c r="G15" s="29">
        <f>VN!G37*(1-CMVMC!$B$15)</f>
      </c>
      <c r="H15" s="29">
        <f>VN!H37*(1-CMVMC!$B$15)</f>
      </c>
      <c r="I15" s="106"/>
    </row>
    <row x14ac:dyDescent="0.25" r="16" customHeight="1" ht="18.75">
      <c r="A16" s="418" t="s">
        <v>391</v>
      </c>
      <c r="B16" s="419"/>
      <c r="C16" s="220">
        <f>+C8+C13</f>
      </c>
      <c r="D16" s="220">
        <f>+D8+D13</f>
      </c>
      <c r="E16" s="220">
        <f>+E8+E13</f>
      </c>
      <c r="F16" s="220">
        <f>+F8+F13</f>
      </c>
      <c r="G16" s="220">
        <f>+G8+G13</f>
      </c>
      <c r="H16" s="220">
        <f>+H8+H13</f>
      </c>
      <c r="I16" s="106"/>
    </row>
    <row x14ac:dyDescent="0.25" r="17" customHeight="1" ht="18.75">
      <c r="A17" s="420"/>
      <c r="B17" s="421"/>
      <c r="C17" s="62"/>
      <c r="D17" s="62"/>
      <c r="E17" s="62"/>
      <c r="F17" s="62"/>
      <c r="G17" s="62"/>
      <c r="H17" s="62"/>
      <c r="I17" s="106"/>
    </row>
    <row x14ac:dyDescent="0.25" r="18" customHeight="1" ht="18.75">
      <c r="A18" s="418" t="s">
        <v>259</v>
      </c>
      <c r="B18" s="422">
        <f>+Pressupostos!B20</f>
      </c>
      <c r="C18" s="423">
        <f>+C8*$B$18</f>
      </c>
      <c r="D18" s="423">
        <f>+D8*$B$18</f>
      </c>
      <c r="E18" s="423">
        <f>+E8*$B$18</f>
      </c>
      <c r="F18" s="423">
        <f>+F8*$B$18</f>
      </c>
      <c r="G18" s="423">
        <f>+G8*$B$18</f>
      </c>
      <c r="H18" s="423">
        <f>+H8*$B$18</f>
      </c>
      <c r="I18" s="106"/>
    </row>
    <row x14ac:dyDescent="0.25" r="19" customHeight="1" ht="18.75">
      <c r="A19" s="12"/>
      <c r="B19" s="44"/>
      <c r="C19" s="38"/>
      <c r="D19" s="38"/>
      <c r="E19" s="38"/>
      <c r="F19" s="38"/>
      <c r="G19" s="38"/>
      <c r="H19" s="38"/>
      <c r="I19" s="106"/>
    </row>
    <row x14ac:dyDescent="0.25" r="20" customHeight="1" ht="18.75">
      <c r="A20" s="424" t="s">
        <v>392</v>
      </c>
      <c r="B20" s="425"/>
      <c r="C20" s="220">
        <f>+C16+C18</f>
      </c>
      <c r="D20" s="220">
        <f>+D16+D18</f>
      </c>
      <c r="E20" s="220">
        <f>+E16+E18</f>
      </c>
      <c r="F20" s="220">
        <f>+F16+F18</f>
      </c>
      <c r="G20" s="220">
        <f>+G16+G18</f>
      </c>
      <c r="H20" s="220">
        <f>+H16+H18</f>
      </c>
      <c r="I20" s="106"/>
    </row>
    <row x14ac:dyDescent="0.25" r="21" customHeight="1" ht="18.75">
      <c r="A21" s="12"/>
      <c r="B21" s="44"/>
      <c r="C21" s="38"/>
      <c r="D21" s="38"/>
      <c r="E21" s="38"/>
      <c r="F21" s="38"/>
      <c r="G21" s="38"/>
      <c r="H21" s="38"/>
      <c r="I21" s="106"/>
    </row>
    <row x14ac:dyDescent="0.25" r="22" customHeight="1" ht="18.75">
      <c r="A22" s="12"/>
      <c r="B22" s="44"/>
      <c r="C22" s="38"/>
      <c r="D22" s="38"/>
      <c r="E22" s="38"/>
      <c r="F22" s="38"/>
      <c r="G22" s="38"/>
      <c r="H22" s="38"/>
      <c r="I22" s="106"/>
    </row>
    <row x14ac:dyDescent="0.25" r="23" customHeight="1" ht="18.75">
      <c r="A23" s="426" t="s">
        <v>393</v>
      </c>
      <c r="B23" s="44"/>
      <c r="C23" s="38"/>
      <c r="D23" s="38"/>
      <c r="E23" s="38"/>
      <c r="F23" s="38"/>
      <c r="G23" s="38"/>
      <c r="H23" s="38"/>
      <c r="I23" s="106"/>
    </row>
    <row x14ac:dyDescent="0.25" r="24" customHeight="1" ht="18.75">
      <c r="A24" s="426" t="s">
        <v>394</v>
      </c>
      <c r="B24" s="44"/>
      <c r="C24" s="38"/>
      <c r="D24" s="38"/>
      <c r="E24" s="38"/>
      <c r="F24" s="38"/>
      <c r="G24" s="38"/>
      <c r="H24" s="38"/>
      <c r="I24" s="106"/>
    </row>
    <row x14ac:dyDescent="0.25" r="25" customHeight="1" ht="18.75">
      <c r="A25" s="426" t="s">
        <v>395</v>
      </c>
      <c r="B25" s="44"/>
      <c r="C25" s="38"/>
      <c r="D25" s="38"/>
      <c r="E25" s="38"/>
      <c r="F25" s="38"/>
      <c r="G25" s="38"/>
      <c r="H25" s="38"/>
      <c r="I25" s="106"/>
    </row>
    <row x14ac:dyDescent="0.25" r="26" customHeight="1" ht="18.75">
      <c r="A26" s="426" t="s">
        <v>396</v>
      </c>
      <c r="B26" s="44"/>
      <c r="C26" s="38"/>
      <c r="D26" s="38"/>
      <c r="E26" s="38"/>
      <c r="F26" s="38"/>
      <c r="G26" s="38"/>
      <c r="H26" s="38"/>
      <c r="I26" s="106"/>
    </row>
    <row x14ac:dyDescent="0.25" r="27" customHeight="1" ht="18.75">
      <c r="A27" s="12"/>
      <c r="B27" s="44"/>
      <c r="C27" s="38"/>
      <c r="D27" s="38"/>
      <c r="E27" s="38"/>
      <c r="F27" s="38"/>
      <c r="G27" s="38"/>
      <c r="H27" s="38"/>
      <c r="I27" s="106"/>
    </row>
    <row x14ac:dyDescent="0.25" r="28" customHeight="1" ht="18.75">
      <c r="A28" s="426" t="s">
        <v>397</v>
      </c>
      <c r="B28" s="44"/>
      <c r="C28" s="38"/>
      <c r="D28" s="38"/>
      <c r="E28" s="38"/>
      <c r="F28" s="38"/>
      <c r="G28" s="38"/>
      <c r="H28" s="38"/>
      <c r="I28" s="106"/>
    </row>
    <row x14ac:dyDescent="0.25" r="29" customHeight="1" ht="18.75">
      <c r="A29" s="427"/>
      <c r="B29" s="44"/>
      <c r="C29" s="38"/>
      <c r="D29" s="38"/>
      <c r="E29" s="38"/>
      <c r="F29" s="38"/>
      <c r="G29" s="38"/>
      <c r="H29" s="38"/>
      <c r="I29" s="106"/>
    </row>
    <row x14ac:dyDescent="0.25" r="30" customHeight="1" ht="18.75">
      <c r="A30" s="428"/>
      <c r="B30" s="189"/>
      <c r="C30" s="81"/>
      <c r="D30" s="81"/>
      <c r="E30" s="81"/>
      <c r="F30" s="81"/>
      <c r="G30" s="81"/>
      <c r="H30" s="81"/>
      <c r="I30" s="1"/>
    </row>
    <row x14ac:dyDescent="0.25" r="31" customHeight="1" ht="18.75">
      <c r="A31" s="106"/>
      <c r="B31" s="189"/>
      <c r="C31" s="81"/>
      <c r="D31" s="81"/>
      <c r="E31" s="81"/>
      <c r="F31" s="81"/>
      <c r="G31" s="81"/>
      <c r="H31" s="81"/>
      <c r="I31" s="1"/>
    </row>
    <row x14ac:dyDescent="0.25" r="32" customHeight="1" ht="18.75">
      <c r="A32" s="106"/>
      <c r="B32" s="189"/>
      <c r="C32" s="81"/>
      <c r="D32" s="81"/>
      <c r="E32" s="81"/>
      <c r="F32" s="81"/>
      <c r="G32" s="81"/>
      <c r="H32" s="81"/>
      <c r="I32" s="1"/>
    </row>
    <row x14ac:dyDescent="0.25" r="33" customHeight="1" ht="18.75">
      <c r="A33" s="106"/>
      <c r="B33" s="189"/>
      <c r="C33" s="81"/>
      <c r="D33" s="81"/>
      <c r="E33" s="81"/>
      <c r="F33" s="81"/>
      <c r="G33" s="81"/>
      <c r="H33" s="81"/>
      <c r="I33" s="1"/>
    </row>
    <row x14ac:dyDescent="0.25" r="34" customHeight="1" ht="18.75">
      <c r="A34" s="106"/>
      <c r="B34" s="189"/>
      <c r="C34" s="81"/>
      <c r="D34" s="81"/>
      <c r="E34" s="81"/>
      <c r="F34" s="81"/>
      <c r="G34" s="81"/>
      <c r="H34" s="81"/>
      <c r="I34" s="1"/>
    </row>
    <row x14ac:dyDescent="0.25" r="35" customHeight="1" ht="18.75">
      <c r="A35" s="106"/>
      <c r="B35" s="189"/>
      <c r="C35" s="81"/>
      <c r="D35" s="81"/>
      <c r="E35" s="81"/>
      <c r="F35" s="81"/>
      <c r="G35" s="81"/>
      <c r="H35" s="81"/>
      <c r="I35" s="1"/>
    </row>
    <row x14ac:dyDescent="0.25" r="36" customHeight="1" ht="18.75">
      <c r="A36" s="106"/>
      <c r="B36" s="189"/>
      <c r="C36" s="81"/>
      <c r="D36" s="81"/>
      <c r="E36" s="81"/>
      <c r="F36" s="81"/>
      <c r="G36" s="81"/>
      <c r="H36" s="81"/>
      <c r="I36" s="1"/>
    </row>
    <row x14ac:dyDescent="0.25" r="37" customHeight="1" ht="18.75">
      <c r="A37" s="106"/>
      <c r="B37" s="189"/>
      <c r="C37" s="81"/>
      <c r="D37" s="81"/>
      <c r="E37" s="81"/>
      <c r="F37" s="81"/>
      <c r="G37" s="81"/>
      <c r="H37" s="81"/>
      <c r="I37" s="1"/>
    </row>
    <row x14ac:dyDescent="0.25" r="38" customHeight="1" ht="18.75">
      <c r="A38" s="106"/>
      <c r="B38" s="189"/>
      <c r="C38" s="81"/>
      <c r="D38" s="81"/>
      <c r="E38" s="81"/>
      <c r="F38" s="81"/>
      <c r="G38" s="81"/>
      <c r="H38" s="81"/>
      <c r="I38" s="1"/>
    </row>
    <row x14ac:dyDescent="0.25" r="39" customHeight="1" ht="18.75">
      <c r="A39" s="106"/>
      <c r="B39" s="189"/>
      <c r="C39" s="81"/>
      <c r="D39" s="81"/>
      <c r="E39" s="81"/>
      <c r="F39" s="81"/>
      <c r="G39" s="81"/>
      <c r="H39" s="81"/>
      <c r="I39" s="1"/>
    </row>
    <row x14ac:dyDescent="0.25" r="40" customHeight="1" ht="18.75">
      <c r="A40" s="106"/>
      <c r="B40" s="189"/>
      <c r="C40" s="81"/>
      <c r="D40" s="81"/>
      <c r="E40" s="81"/>
      <c r="F40" s="81"/>
      <c r="G40" s="81"/>
      <c r="H40" s="81"/>
      <c r="I40" s="1"/>
    </row>
    <row x14ac:dyDescent="0.25" r="41" customHeight="1" ht="18.75">
      <c r="A41" s="106"/>
      <c r="B41" s="189"/>
      <c r="C41" s="81"/>
      <c r="D41" s="81"/>
      <c r="E41" s="81"/>
      <c r="F41" s="81"/>
      <c r="G41" s="81"/>
      <c r="H41" s="81"/>
      <c r="I41" s="1"/>
    </row>
    <row x14ac:dyDescent="0.25" r="42" customHeight="1" ht="18.75">
      <c r="A42" s="106"/>
      <c r="B42" s="189"/>
      <c r="C42" s="81"/>
      <c r="D42" s="81"/>
      <c r="E42" s="81"/>
      <c r="F42" s="81"/>
      <c r="G42" s="81"/>
      <c r="H42" s="81"/>
      <c r="I42" s="1"/>
    </row>
    <row x14ac:dyDescent="0.25" r="43" customHeight="1" ht="18.75">
      <c r="A43" s="106"/>
      <c r="B43" s="189"/>
      <c r="C43" s="81"/>
      <c r="D43" s="81"/>
      <c r="E43" s="81"/>
      <c r="F43" s="81"/>
      <c r="G43" s="81"/>
      <c r="H43" s="81"/>
      <c r="I43" s="1"/>
    </row>
    <row x14ac:dyDescent="0.25" r="44" customHeight="1" ht="18.75">
      <c r="A44" s="106"/>
      <c r="B44" s="189"/>
      <c r="C44" s="81"/>
      <c r="D44" s="81"/>
      <c r="E44" s="81"/>
      <c r="F44" s="81"/>
      <c r="G44" s="81"/>
      <c r="H44" s="81"/>
      <c r="I44" s="1"/>
    </row>
    <row x14ac:dyDescent="0.25" r="45" customHeight="1" ht="18.75">
      <c r="A45" s="106"/>
      <c r="B45" s="189"/>
      <c r="C45" s="81"/>
      <c r="D45" s="81"/>
      <c r="E45" s="81"/>
      <c r="F45" s="81"/>
      <c r="G45" s="81"/>
      <c r="H45" s="81"/>
      <c r="I45" s="1"/>
    </row>
    <row x14ac:dyDescent="0.25" r="46" customHeight="1" ht="18.75">
      <c r="A46" s="106"/>
      <c r="B46" s="189"/>
      <c r="C46" s="81"/>
      <c r="D46" s="81"/>
      <c r="E46" s="81"/>
      <c r="F46" s="81"/>
      <c r="G46" s="81"/>
      <c r="H46" s="81"/>
      <c r="I46" s="1"/>
    </row>
    <row x14ac:dyDescent="0.25" r="47" customHeight="1" ht="18.75">
      <c r="A47" s="106"/>
      <c r="B47" s="189"/>
      <c r="C47" s="81"/>
      <c r="D47" s="81"/>
      <c r="E47" s="81"/>
      <c r="F47" s="81"/>
      <c r="G47" s="81"/>
      <c r="H47" s="81"/>
      <c r="I47" s="1"/>
    </row>
    <row x14ac:dyDescent="0.25" r="48" customHeight="1" ht="18.75">
      <c r="A48" s="106"/>
      <c r="B48" s="189"/>
      <c r="C48" s="81"/>
      <c r="D48" s="81"/>
      <c r="E48" s="81"/>
      <c r="F48" s="81"/>
      <c r="G48" s="81"/>
      <c r="H48" s="81"/>
      <c r="I48" s="1"/>
    </row>
    <row x14ac:dyDescent="0.25" r="49" customHeight="1" ht="18.75">
      <c r="A49" s="106"/>
      <c r="B49" s="189"/>
      <c r="C49" s="81"/>
      <c r="D49" s="81"/>
      <c r="E49" s="81"/>
      <c r="F49" s="81"/>
      <c r="G49" s="81"/>
      <c r="H49" s="81"/>
      <c r="I49" s="1"/>
    </row>
    <row x14ac:dyDescent="0.25" r="50" customHeight="1" ht="18.75">
      <c r="A50" s="106"/>
      <c r="B50" s="189"/>
      <c r="C50" s="81"/>
      <c r="D50" s="81"/>
      <c r="E50" s="81"/>
      <c r="F50" s="81"/>
      <c r="G50" s="81"/>
      <c r="H50" s="81"/>
      <c r="I50" s="1"/>
    </row>
    <row x14ac:dyDescent="0.25" r="51" customHeight="1" ht="18.75">
      <c r="A51" s="106"/>
      <c r="B51" s="189"/>
      <c r="C51" s="81"/>
      <c r="D51" s="81"/>
      <c r="E51" s="81"/>
      <c r="F51" s="81"/>
      <c r="G51" s="81"/>
      <c r="H51" s="81"/>
      <c r="I51" s="1"/>
    </row>
    <row x14ac:dyDescent="0.25" r="52" customHeight="1" ht="18.75">
      <c r="A52" s="106"/>
      <c r="B52" s="189"/>
      <c r="C52" s="81"/>
      <c r="D52" s="81"/>
      <c r="E52" s="81"/>
      <c r="F52" s="81"/>
      <c r="G52" s="81"/>
      <c r="H52" s="81"/>
      <c r="I52" s="1"/>
    </row>
    <row x14ac:dyDescent="0.25" r="53" customHeight="1" ht="18.75">
      <c r="A53" s="106"/>
      <c r="B53" s="189"/>
      <c r="C53" s="81"/>
      <c r="D53" s="81"/>
      <c r="E53" s="81"/>
      <c r="F53" s="81"/>
      <c r="G53" s="81"/>
      <c r="H53" s="81"/>
      <c r="I53" s="1"/>
    </row>
    <row x14ac:dyDescent="0.25" r="54" customHeight="1" ht="18.75">
      <c r="A54" s="106"/>
      <c r="B54" s="189"/>
      <c r="C54" s="81"/>
      <c r="D54" s="81"/>
      <c r="E54" s="81"/>
      <c r="F54" s="81"/>
      <c r="G54" s="81"/>
      <c r="H54" s="81"/>
      <c r="I54" s="1"/>
    </row>
    <row x14ac:dyDescent="0.25" r="55" customHeight="1" ht="18.75">
      <c r="A55" s="106"/>
      <c r="B55" s="189"/>
      <c r="C55" s="81"/>
      <c r="D55" s="81"/>
      <c r="E55" s="81"/>
      <c r="F55" s="81"/>
      <c r="G55" s="81"/>
      <c r="H55" s="81"/>
      <c r="I55" s="1"/>
    </row>
    <row x14ac:dyDescent="0.25" r="56" customHeight="1" ht="18.75">
      <c r="A56" s="106"/>
      <c r="B56" s="189"/>
      <c r="C56" s="81"/>
      <c r="D56" s="81"/>
      <c r="E56" s="81"/>
      <c r="F56" s="81"/>
      <c r="G56" s="81"/>
      <c r="H56" s="81"/>
      <c r="I56" s="1"/>
    </row>
    <row x14ac:dyDescent="0.25" r="57" customHeight="1" ht="18.75">
      <c r="A57" s="106"/>
      <c r="B57" s="189"/>
      <c r="C57" s="81"/>
      <c r="D57" s="81"/>
      <c r="E57" s="81"/>
      <c r="F57" s="81"/>
      <c r="G57" s="81"/>
      <c r="H57" s="81"/>
      <c r="I57" s="1"/>
    </row>
    <row x14ac:dyDescent="0.25" r="58" customHeight="1" ht="18.75">
      <c r="A58" s="106"/>
      <c r="B58" s="189"/>
      <c r="C58" s="81"/>
      <c r="D58" s="81"/>
      <c r="E58" s="81"/>
      <c r="F58" s="81"/>
      <c r="G58" s="81"/>
      <c r="H58" s="81"/>
      <c r="I58" s="1"/>
    </row>
    <row x14ac:dyDescent="0.25" r="59" customHeight="1" ht="18.75">
      <c r="A59" s="106"/>
      <c r="B59" s="189"/>
      <c r="C59" s="81"/>
      <c r="D59" s="81"/>
      <c r="E59" s="81"/>
      <c r="F59" s="81"/>
      <c r="G59" s="81"/>
      <c r="H59" s="81"/>
      <c r="I59" s="1"/>
    </row>
    <row x14ac:dyDescent="0.25" r="60" customHeight="1" ht="18.75">
      <c r="A60" s="106"/>
      <c r="B60" s="189"/>
      <c r="C60" s="81"/>
      <c r="D60" s="81"/>
      <c r="E60" s="81"/>
      <c r="F60" s="81"/>
      <c r="G60" s="81"/>
      <c r="H60" s="81"/>
      <c r="I60" s="1"/>
    </row>
    <row x14ac:dyDescent="0.25" r="61" customHeight="1" ht="18.75">
      <c r="A61" s="106"/>
      <c r="B61" s="189"/>
      <c r="C61" s="81"/>
      <c r="D61" s="81"/>
      <c r="E61" s="81"/>
      <c r="F61" s="81"/>
      <c r="G61" s="81"/>
      <c r="H61" s="81"/>
      <c r="I61" s="1"/>
    </row>
    <row x14ac:dyDescent="0.25" r="62" customHeight="1" ht="18.75">
      <c r="A62" s="106"/>
      <c r="B62" s="189"/>
      <c r="C62" s="81"/>
      <c r="D62" s="81"/>
      <c r="E62" s="81"/>
      <c r="F62" s="81"/>
      <c r="G62" s="81"/>
      <c r="H62" s="81"/>
      <c r="I62" s="1"/>
    </row>
    <row x14ac:dyDescent="0.25" r="63" customHeight="1" ht="18.75">
      <c r="A63" s="106"/>
      <c r="B63" s="189"/>
      <c r="C63" s="81"/>
      <c r="D63" s="81"/>
      <c r="E63" s="81"/>
      <c r="F63" s="81"/>
      <c r="G63" s="81"/>
      <c r="H63" s="81"/>
      <c r="I63" s="1"/>
    </row>
    <row x14ac:dyDescent="0.25" r="64" customHeight="1" ht="18.75">
      <c r="A64" s="106"/>
      <c r="B64" s="189"/>
      <c r="C64" s="81"/>
      <c r="D64" s="81"/>
      <c r="E64" s="81"/>
      <c r="F64" s="81"/>
      <c r="G64" s="81"/>
      <c r="H64" s="81"/>
      <c r="I64" s="1"/>
    </row>
    <row x14ac:dyDescent="0.25" r="65" customHeight="1" ht="18.75">
      <c r="A65" s="106"/>
      <c r="B65" s="189"/>
      <c r="C65" s="81"/>
      <c r="D65" s="81"/>
      <c r="E65" s="81"/>
      <c r="F65" s="81"/>
      <c r="G65" s="81"/>
      <c r="H65" s="81"/>
      <c r="I65" s="1"/>
    </row>
    <row x14ac:dyDescent="0.25" r="66" customHeight="1" ht="18.75">
      <c r="A66" s="106"/>
      <c r="B66" s="189"/>
      <c r="C66" s="81"/>
      <c r="D66" s="81"/>
      <c r="E66" s="81"/>
      <c r="F66" s="81"/>
      <c r="G66" s="81"/>
      <c r="H66" s="81"/>
      <c r="I66" s="1"/>
    </row>
    <row x14ac:dyDescent="0.25" r="67" customHeight="1" ht="18.75">
      <c r="A67" s="106"/>
      <c r="B67" s="189"/>
      <c r="C67" s="81"/>
      <c r="D67" s="81"/>
      <c r="E67" s="81"/>
      <c r="F67" s="81"/>
      <c r="G67" s="81"/>
      <c r="H67" s="81"/>
      <c r="I67" s="1"/>
    </row>
    <row x14ac:dyDescent="0.25" r="68" customHeight="1" ht="18.75">
      <c r="A68" s="106"/>
      <c r="B68" s="189"/>
      <c r="C68" s="81"/>
      <c r="D68" s="81"/>
      <c r="E68" s="81"/>
      <c r="F68" s="81"/>
      <c r="G68" s="81"/>
      <c r="H68" s="81"/>
      <c r="I68" s="1"/>
    </row>
    <row x14ac:dyDescent="0.25" r="69" customHeight="1" ht="18.75">
      <c r="A69" s="106"/>
      <c r="B69" s="189"/>
      <c r="C69" s="81"/>
      <c r="D69" s="81"/>
      <c r="E69" s="81"/>
      <c r="F69" s="81"/>
      <c r="G69" s="81"/>
      <c r="H69" s="81"/>
      <c r="I69" s="1"/>
    </row>
    <row x14ac:dyDescent="0.25" r="70" customHeight="1" ht="18.75">
      <c r="A70" s="106"/>
      <c r="B70" s="189"/>
      <c r="C70" s="81"/>
      <c r="D70" s="81"/>
      <c r="E70" s="81"/>
      <c r="F70" s="81"/>
      <c r="G70" s="81"/>
      <c r="H70" s="81"/>
      <c r="I70" s="1"/>
    </row>
    <row x14ac:dyDescent="0.25" r="71" customHeight="1" ht="18.75">
      <c r="A71" s="106"/>
      <c r="B71" s="189"/>
      <c r="C71" s="81"/>
      <c r="D71" s="81"/>
      <c r="E71" s="81"/>
      <c r="F71" s="81"/>
      <c r="G71" s="81"/>
      <c r="H71" s="81"/>
      <c r="I71" s="1"/>
    </row>
    <row x14ac:dyDescent="0.25" r="72" customHeight="1" ht="18.75">
      <c r="A72" s="106"/>
      <c r="B72" s="189"/>
      <c r="C72" s="81"/>
      <c r="D72" s="81"/>
      <c r="E72" s="81"/>
      <c r="F72" s="81"/>
      <c r="G72" s="81"/>
      <c r="H72" s="81"/>
      <c r="I72" s="1"/>
    </row>
    <row x14ac:dyDescent="0.25" r="73" customHeight="1" ht="18.75">
      <c r="A73" s="106"/>
      <c r="B73" s="189"/>
      <c r="C73" s="81"/>
      <c r="D73" s="81"/>
      <c r="E73" s="81"/>
      <c r="F73" s="81"/>
      <c r="G73" s="81"/>
      <c r="H73" s="81"/>
      <c r="I73" s="1"/>
    </row>
    <row x14ac:dyDescent="0.25" r="74" customHeight="1" ht="18.75">
      <c r="A74" s="106"/>
      <c r="B74" s="189"/>
      <c r="C74" s="81"/>
      <c r="D74" s="81"/>
      <c r="E74" s="81"/>
      <c r="F74" s="81"/>
      <c r="G74" s="81"/>
      <c r="H74" s="81"/>
      <c r="I74" s="1"/>
    </row>
    <row x14ac:dyDescent="0.25" r="75" customHeight="1" ht="18.75">
      <c r="A75" s="106"/>
      <c r="B75" s="189"/>
      <c r="C75" s="81"/>
      <c r="D75" s="81"/>
      <c r="E75" s="81"/>
      <c r="F75" s="81"/>
      <c r="G75" s="81"/>
      <c r="H75" s="81"/>
      <c r="I75" s="1"/>
    </row>
    <row x14ac:dyDescent="0.25" r="76" customHeight="1" ht="18.75">
      <c r="A76" s="106"/>
      <c r="B76" s="189"/>
      <c r="C76" s="81"/>
      <c r="D76" s="81"/>
      <c r="E76" s="81"/>
      <c r="F76" s="81"/>
      <c r="G76" s="81"/>
      <c r="H76" s="81"/>
      <c r="I76" s="1"/>
    </row>
    <row x14ac:dyDescent="0.25" r="77" customHeight="1" ht="18.75">
      <c r="A77" s="106"/>
      <c r="B77" s="189"/>
      <c r="C77" s="81"/>
      <c r="D77" s="81"/>
      <c r="E77" s="81"/>
      <c r="F77" s="81"/>
      <c r="G77" s="81"/>
      <c r="H77" s="81"/>
      <c r="I77" s="1"/>
    </row>
    <row x14ac:dyDescent="0.25" r="78" customHeight="1" ht="18.75">
      <c r="A78" s="106"/>
      <c r="B78" s="189"/>
      <c r="C78" s="81"/>
      <c r="D78" s="81"/>
      <c r="E78" s="81"/>
      <c r="F78" s="81"/>
      <c r="G78" s="81"/>
      <c r="H78" s="81"/>
      <c r="I78" s="1"/>
    </row>
    <row x14ac:dyDescent="0.25" r="79" customHeight="1" ht="18.75">
      <c r="A79" s="106"/>
      <c r="B79" s="189"/>
      <c r="C79" s="81"/>
      <c r="D79" s="81"/>
      <c r="E79" s="81"/>
      <c r="F79" s="81"/>
      <c r="G79" s="81"/>
      <c r="H79" s="81"/>
      <c r="I79" s="1"/>
    </row>
    <row x14ac:dyDescent="0.25" r="80" customHeight="1" ht="18.75">
      <c r="A80" s="106"/>
      <c r="B80" s="189"/>
      <c r="C80" s="81"/>
      <c r="D80" s="81"/>
      <c r="E80" s="81"/>
      <c r="F80" s="81"/>
      <c r="G80" s="81"/>
      <c r="H80" s="81"/>
      <c r="I80" s="1"/>
    </row>
    <row x14ac:dyDescent="0.25" r="81" customHeight="1" ht="18.75">
      <c r="A81" s="106"/>
      <c r="B81" s="189"/>
      <c r="C81" s="81"/>
      <c r="D81" s="81"/>
      <c r="E81" s="81"/>
      <c r="F81" s="81"/>
      <c r="G81" s="81"/>
      <c r="H81" s="81"/>
      <c r="I81" s="1"/>
    </row>
    <row x14ac:dyDescent="0.25" r="82" customHeight="1" ht="18.75">
      <c r="A82" s="106"/>
      <c r="B82" s="189"/>
      <c r="C82" s="81"/>
      <c r="D82" s="81"/>
      <c r="E82" s="81"/>
      <c r="F82" s="81"/>
      <c r="G82" s="81"/>
      <c r="H82" s="81"/>
      <c r="I82" s="1"/>
    </row>
    <row x14ac:dyDescent="0.25" r="83" customHeight="1" ht="18.75">
      <c r="A83" s="106"/>
      <c r="B83" s="189"/>
      <c r="C83" s="81"/>
      <c r="D83" s="81"/>
      <c r="E83" s="81"/>
      <c r="F83" s="81"/>
      <c r="G83" s="81"/>
      <c r="H83" s="81"/>
      <c r="I83" s="1"/>
    </row>
    <row x14ac:dyDescent="0.25" r="84" customHeight="1" ht="18.75">
      <c r="A84" s="106"/>
      <c r="B84" s="189"/>
      <c r="C84" s="81"/>
      <c r="D84" s="81"/>
      <c r="E84" s="81"/>
      <c r="F84" s="81"/>
      <c r="G84" s="81"/>
      <c r="H84" s="81"/>
      <c r="I84" s="1"/>
    </row>
    <row x14ac:dyDescent="0.25" r="85" customHeight="1" ht="18.75">
      <c r="A85" s="106"/>
      <c r="B85" s="189"/>
      <c r="C85" s="81"/>
      <c r="D85" s="81"/>
      <c r="E85" s="81"/>
      <c r="F85" s="81"/>
      <c r="G85" s="81"/>
      <c r="H85" s="81"/>
      <c r="I85" s="1"/>
    </row>
    <row x14ac:dyDescent="0.25" r="86" customHeight="1" ht="18.75">
      <c r="A86" s="106"/>
      <c r="B86" s="189"/>
      <c r="C86" s="81"/>
      <c r="D86" s="81"/>
      <c r="E86" s="81"/>
      <c r="F86" s="81"/>
      <c r="G86" s="81"/>
      <c r="H86" s="81"/>
      <c r="I86" s="1"/>
    </row>
    <row x14ac:dyDescent="0.25" r="87" customHeight="1" ht="18.75">
      <c r="A87" s="106"/>
      <c r="B87" s="189"/>
      <c r="C87" s="81"/>
      <c r="D87" s="81"/>
      <c r="E87" s="81"/>
      <c r="F87" s="81"/>
      <c r="G87" s="81"/>
      <c r="H87" s="81"/>
      <c r="I87" s="1"/>
    </row>
    <row x14ac:dyDescent="0.25" r="88" customHeight="1" ht="18.75">
      <c r="A88" s="106"/>
      <c r="B88" s="189"/>
      <c r="C88" s="81"/>
      <c r="D88" s="81"/>
      <c r="E88" s="81"/>
      <c r="F88" s="81"/>
      <c r="G88" s="81"/>
      <c r="H88" s="81"/>
      <c r="I88" s="1"/>
    </row>
    <row x14ac:dyDescent="0.25" r="89" customHeight="1" ht="18.75">
      <c r="A89" s="106"/>
      <c r="B89" s="189"/>
      <c r="C89" s="81"/>
      <c r="D89" s="81"/>
      <c r="E89" s="81"/>
      <c r="F89" s="81"/>
      <c r="G89" s="81"/>
      <c r="H89" s="81"/>
      <c r="I89" s="1"/>
    </row>
    <row x14ac:dyDescent="0.25" r="90" customHeight="1" ht="18.75">
      <c r="A90" s="106"/>
      <c r="B90" s="189"/>
      <c r="C90" s="81"/>
      <c r="D90" s="81"/>
      <c r="E90" s="81"/>
      <c r="F90" s="81"/>
      <c r="G90" s="81"/>
      <c r="H90" s="81"/>
      <c r="I90" s="1"/>
    </row>
    <row x14ac:dyDescent="0.25" r="91" customHeight="1" ht="18.75">
      <c r="A91" s="106"/>
      <c r="B91" s="189"/>
      <c r="C91" s="81"/>
      <c r="D91" s="81"/>
      <c r="E91" s="81"/>
      <c r="F91" s="81"/>
      <c r="G91" s="81"/>
      <c r="H91" s="81"/>
      <c r="I91" s="1"/>
    </row>
    <row x14ac:dyDescent="0.25" r="92" customHeight="1" ht="18.75">
      <c r="A92" s="106"/>
      <c r="B92" s="189"/>
      <c r="C92" s="81"/>
      <c r="D92" s="81"/>
      <c r="E92" s="81"/>
      <c r="F92" s="81"/>
      <c r="G92" s="81"/>
      <c r="H92" s="81"/>
      <c r="I92" s="1"/>
    </row>
    <row x14ac:dyDescent="0.25" r="93" customHeight="1" ht="18.75">
      <c r="A93" s="106"/>
      <c r="B93" s="189"/>
      <c r="C93" s="81"/>
      <c r="D93" s="81"/>
      <c r="E93" s="81"/>
      <c r="F93" s="81"/>
      <c r="G93" s="81"/>
      <c r="H93" s="81"/>
      <c r="I93" s="1"/>
    </row>
    <row x14ac:dyDescent="0.25" r="94" customHeight="1" ht="18.75">
      <c r="A94" s="106"/>
      <c r="B94" s="189"/>
      <c r="C94" s="81"/>
      <c r="D94" s="81"/>
      <c r="E94" s="81"/>
      <c r="F94" s="81"/>
      <c r="G94" s="81"/>
      <c r="H94" s="81"/>
      <c r="I94" s="1"/>
    </row>
    <row x14ac:dyDescent="0.25" r="95" customHeight="1" ht="18.75">
      <c r="A95" s="106"/>
      <c r="B95" s="189"/>
      <c r="C95" s="81"/>
      <c r="D95" s="81"/>
      <c r="E95" s="81"/>
      <c r="F95" s="81"/>
      <c r="G95" s="81"/>
      <c r="H95" s="81"/>
      <c r="I95" s="1"/>
    </row>
    <row x14ac:dyDescent="0.25" r="96" customHeight="1" ht="18.75">
      <c r="A96" s="106"/>
      <c r="B96" s="189"/>
      <c r="C96" s="81"/>
      <c r="D96" s="81"/>
      <c r="E96" s="81"/>
      <c r="F96" s="81"/>
      <c r="G96" s="81"/>
      <c r="H96" s="81"/>
      <c r="I96" s="1"/>
    </row>
    <row x14ac:dyDescent="0.25" r="97" customHeight="1" ht="18.75">
      <c r="A97" s="106"/>
      <c r="B97" s="189"/>
      <c r="C97" s="81"/>
      <c r="D97" s="81"/>
      <c r="E97" s="81"/>
      <c r="F97" s="81"/>
      <c r="G97" s="81"/>
      <c r="H97" s="81"/>
      <c r="I97" s="1"/>
    </row>
    <row x14ac:dyDescent="0.25" r="98" customHeight="1" ht="18.75">
      <c r="A98" s="106"/>
      <c r="B98" s="189"/>
      <c r="C98" s="81"/>
      <c r="D98" s="81"/>
      <c r="E98" s="81"/>
      <c r="F98" s="81"/>
      <c r="G98" s="81"/>
      <c r="H98" s="81"/>
      <c r="I98" s="1"/>
    </row>
    <row x14ac:dyDescent="0.25" r="99" customHeight="1" ht="18.75">
      <c r="A99" s="106"/>
      <c r="B99" s="189"/>
      <c r="C99" s="81"/>
      <c r="D99" s="81"/>
      <c r="E99" s="81"/>
      <c r="F99" s="81"/>
      <c r="G99" s="81"/>
      <c r="H99" s="81"/>
      <c r="I99" s="1"/>
    </row>
    <row x14ac:dyDescent="0.25" r="100" customHeight="1" ht="18.75">
      <c r="A100" s="106"/>
      <c r="B100" s="189"/>
      <c r="C100" s="81"/>
      <c r="D100" s="81"/>
      <c r="E100" s="81"/>
      <c r="F100" s="81"/>
      <c r="G100" s="81"/>
      <c r="H100" s="81"/>
      <c r="I100" s="1"/>
    </row>
    <row x14ac:dyDescent="0.25" r="101" customHeight="1" ht="18.75">
      <c r="A101" s="106"/>
      <c r="B101" s="189"/>
      <c r="C101" s="81"/>
      <c r="D101" s="81"/>
      <c r="E101" s="81"/>
      <c r="F101" s="81"/>
      <c r="G101" s="81"/>
      <c r="H101" s="81"/>
      <c r="I101" s="1"/>
    </row>
    <row x14ac:dyDescent="0.25" r="102" customHeight="1" ht="18.75">
      <c r="A102" s="106"/>
      <c r="B102" s="189"/>
      <c r="C102" s="81"/>
      <c r="D102" s="81"/>
      <c r="E102" s="81"/>
      <c r="F102" s="81"/>
      <c r="G102" s="81"/>
      <c r="H102" s="81"/>
      <c r="I102" s="1"/>
    </row>
    <row x14ac:dyDescent="0.25" r="103" customHeight="1" ht="18.75">
      <c r="A103" s="106"/>
      <c r="B103" s="189"/>
      <c r="C103" s="81"/>
      <c r="D103" s="81"/>
      <c r="E103" s="81"/>
      <c r="F103" s="81"/>
      <c r="G103" s="81"/>
      <c r="H103" s="81"/>
      <c r="I103" s="1"/>
    </row>
    <row x14ac:dyDescent="0.25" r="104" customHeight="1" ht="18.75">
      <c r="A104" s="106"/>
      <c r="B104" s="189"/>
      <c r="C104" s="81"/>
      <c r="D104" s="81"/>
      <c r="E104" s="81"/>
      <c r="F104" s="81"/>
      <c r="G104" s="81"/>
      <c r="H104" s="81"/>
      <c r="I104" s="1"/>
    </row>
    <row x14ac:dyDescent="0.25" r="105" customHeight="1" ht="18.75">
      <c r="A105" s="106"/>
      <c r="B105" s="189"/>
      <c r="C105" s="81"/>
      <c r="D105" s="81"/>
      <c r="E105" s="81"/>
      <c r="F105" s="81"/>
      <c r="G105" s="81"/>
      <c r="H105" s="81"/>
      <c r="I105" s="1"/>
    </row>
    <row x14ac:dyDescent="0.25" r="106" customHeight="1" ht="18.75">
      <c r="A106" s="106"/>
      <c r="B106" s="189"/>
      <c r="C106" s="81"/>
      <c r="D106" s="81"/>
      <c r="E106" s="81"/>
      <c r="F106" s="81"/>
      <c r="G106" s="81"/>
      <c r="H106" s="81"/>
      <c r="I106" s="1"/>
    </row>
    <row x14ac:dyDescent="0.25" r="107" customHeight="1" ht="18.75">
      <c r="A107" s="106"/>
      <c r="B107" s="189"/>
      <c r="C107" s="81"/>
      <c r="D107" s="81"/>
      <c r="E107" s="81"/>
      <c r="F107" s="81"/>
      <c r="G107" s="81"/>
      <c r="H107" s="81"/>
      <c r="I107" s="1"/>
    </row>
    <row x14ac:dyDescent="0.25" r="108" customHeight="1" ht="18.75">
      <c r="A108" s="106"/>
      <c r="B108" s="189"/>
      <c r="C108" s="81"/>
      <c r="D108" s="81"/>
      <c r="E108" s="81"/>
      <c r="F108" s="81"/>
      <c r="G108" s="81"/>
      <c r="H108" s="81"/>
      <c r="I108" s="1"/>
    </row>
    <row x14ac:dyDescent="0.25" r="109" customHeight="1" ht="18.75">
      <c r="A109" s="106"/>
      <c r="B109" s="189"/>
      <c r="C109" s="81"/>
      <c r="D109" s="81"/>
      <c r="E109" s="81"/>
      <c r="F109" s="81"/>
      <c r="G109" s="81"/>
      <c r="H109" s="81"/>
      <c r="I109" s="1"/>
    </row>
    <row x14ac:dyDescent="0.25" r="110" customHeight="1" ht="18.75">
      <c r="A110" s="106"/>
      <c r="B110" s="189"/>
      <c r="C110" s="81"/>
      <c r="D110" s="81"/>
      <c r="E110" s="81"/>
      <c r="F110" s="81"/>
      <c r="G110" s="81"/>
      <c r="H110" s="81"/>
      <c r="I110" s="1"/>
    </row>
    <row x14ac:dyDescent="0.25" r="111" customHeight="1" ht="18.75">
      <c r="A111" s="106"/>
      <c r="B111" s="189"/>
      <c r="C111" s="81"/>
      <c r="D111" s="81"/>
      <c r="E111" s="81"/>
      <c r="F111" s="81"/>
      <c r="G111" s="81"/>
      <c r="H111" s="81"/>
      <c r="I111" s="1"/>
    </row>
    <row x14ac:dyDescent="0.25" r="112" customHeight="1" ht="18.75">
      <c r="A112" s="106"/>
      <c r="B112" s="189"/>
      <c r="C112" s="81"/>
      <c r="D112" s="81"/>
      <c r="E112" s="81"/>
      <c r="F112" s="81"/>
      <c r="G112" s="81"/>
      <c r="H112" s="81"/>
      <c r="I112" s="1"/>
    </row>
    <row x14ac:dyDescent="0.25" r="113" customHeight="1" ht="18.75">
      <c r="A113" s="106"/>
      <c r="B113" s="189"/>
      <c r="C113" s="81"/>
      <c r="D113" s="81"/>
      <c r="E113" s="81"/>
      <c r="F113" s="81"/>
      <c r="G113" s="81"/>
      <c r="H113" s="81"/>
      <c r="I113" s="1"/>
    </row>
    <row x14ac:dyDescent="0.25" r="114" customHeight="1" ht="18.75">
      <c r="A114" s="106"/>
      <c r="B114" s="189"/>
      <c r="C114" s="81"/>
      <c r="D114" s="81"/>
      <c r="E114" s="81"/>
      <c r="F114" s="81"/>
      <c r="G114" s="81"/>
      <c r="H114" s="81"/>
      <c r="I114" s="1"/>
    </row>
    <row x14ac:dyDescent="0.25" r="115" customHeight="1" ht="18.75">
      <c r="A115" s="106"/>
      <c r="B115" s="189"/>
      <c r="C115" s="81"/>
      <c r="D115" s="81"/>
      <c r="E115" s="81"/>
      <c r="F115" s="81"/>
      <c r="G115" s="81"/>
      <c r="H115" s="81"/>
      <c r="I115" s="1"/>
    </row>
    <row x14ac:dyDescent="0.25" r="116" customHeight="1" ht="18.75">
      <c r="A116" s="106"/>
      <c r="B116" s="189"/>
      <c r="C116" s="81"/>
      <c r="D116" s="81"/>
      <c r="E116" s="81"/>
      <c r="F116" s="81"/>
      <c r="G116" s="81"/>
      <c r="H116" s="81"/>
      <c r="I116" s="1"/>
    </row>
    <row x14ac:dyDescent="0.25" r="117" customHeight="1" ht="18.75">
      <c r="A117" s="106"/>
      <c r="B117" s="189"/>
      <c r="C117" s="81"/>
      <c r="D117" s="81"/>
      <c r="E117" s="81"/>
      <c r="F117" s="81"/>
      <c r="G117" s="81"/>
      <c r="H117" s="81"/>
      <c r="I117" s="1"/>
    </row>
    <row x14ac:dyDescent="0.25" r="118" customHeight="1" ht="18.75">
      <c r="A118" s="106"/>
      <c r="B118" s="189"/>
      <c r="C118" s="81"/>
      <c r="D118" s="81"/>
      <c r="E118" s="81"/>
      <c r="F118" s="81"/>
      <c r="G118" s="81"/>
      <c r="H118" s="81"/>
      <c r="I118" s="1"/>
    </row>
    <row x14ac:dyDescent="0.25" r="119" customHeight="1" ht="18.75">
      <c r="A119" s="106"/>
      <c r="B119" s="189"/>
      <c r="C119" s="81"/>
      <c r="D119" s="81"/>
      <c r="E119" s="81"/>
      <c r="F119" s="81"/>
      <c r="G119" s="81"/>
      <c r="H119" s="81"/>
      <c r="I119" s="1"/>
    </row>
    <row x14ac:dyDescent="0.25" r="120" customHeight="1" ht="18.75">
      <c r="A120" s="106"/>
      <c r="B120" s="189"/>
      <c r="C120" s="81"/>
      <c r="D120" s="81"/>
      <c r="E120" s="81"/>
      <c r="F120" s="81"/>
      <c r="G120" s="81"/>
      <c r="H120" s="81"/>
      <c r="I120" s="1"/>
    </row>
    <row x14ac:dyDescent="0.25" r="121" customHeight="1" ht="18.75">
      <c r="A121" s="106"/>
      <c r="B121" s="189"/>
      <c r="C121" s="81"/>
      <c r="D121" s="81"/>
      <c r="E121" s="81"/>
      <c r="F121" s="81"/>
      <c r="G121" s="81"/>
      <c r="H121" s="81"/>
      <c r="I121" s="1"/>
    </row>
    <row x14ac:dyDescent="0.25" r="122" customHeight="1" ht="18.75">
      <c r="A122" s="106"/>
      <c r="B122" s="189"/>
      <c r="C122" s="81"/>
      <c r="D122" s="81"/>
      <c r="E122" s="81"/>
      <c r="F122" s="81"/>
      <c r="G122" s="81"/>
      <c r="H122" s="81"/>
      <c r="I122" s="1"/>
    </row>
    <row x14ac:dyDescent="0.25" r="123" customHeight="1" ht="18.75">
      <c r="A123" s="106"/>
      <c r="B123" s="189"/>
      <c r="C123" s="81"/>
      <c r="D123" s="81"/>
      <c r="E123" s="81"/>
      <c r="F123" s="81"/>
      <c r="G123" s="81"/>
      <c r="H123" s="81"/>
      <c r="I123" s="1"/>
    </row>
    <row x14ac:dyDescent="0.25" r="124" customHeight="1" ht="18.75">
      <c r="A124" s="106"/>
      <c r="B124" s="189"/>
      <c r="C124" s="81"/>
      <c r="D124" s="81"/>
      <c r="E124" s="81"/>
      <c r="F124" s="81"/>
      <c r="G124" s="81"/>
      <c r="H124" s="81"/>
      <c r="I124" s="1"/>
    </row>
    <row x14ac:dyDescent="0.25" r="125" customHeight="1" ht="18.75">
      <c r="A125" s="106"/>
      <c r="B125" s="189"/>
      <c r="C125" s="81"/>
      <c r="D125" s="81"/>
      <c r="E125" s="81"/>
      <c r="F125" s="81"/>
      <c r="G125" s="81"/>
      <c r="H125" s="81"/>
      <c r="I125" s="1"/>
    </row>
    <row x14ac:dyDescent="0.25" r="126" customHeight="1" ht="18.75">
      <c r="A126" s="106"/>
      <c r="B126" s="189"/>
      <c r="C126" s="81"/>
      <c r="D126" s="81"/>
      <c r="E126" s="81"/>
      <c r="F126" s="81"/>
      <c r="G126" s="81"/>
      <c r="H126" s="81"/>
      <c r="I126" s="1"/>
    </row>
    <row x14ac:dyDescent="0.25" r="127" customHeight="1" ht="18.75">
      <c r="A127" s="106"/>
      <c r="B127" s="189"/>
      <c r="C127" s="81"/>
      <c r="D127" s="81"/>
      <c r="E127" s="81"/>
      <c r="F127" s="81"/>
      <c r="G127" s="81"/>
      <c r="H127" s="81"/>
      <c r="I127" s="1"/>
    </row>
    <row x14ac:dyDescent="0.25" r="128" customHeight="1" ht="18.75">
      <c r="A128" s="106"/>
      <c r="B128" s="189"/>
      <c r="C128" s="81"/>
      <c r="D128" s="81"/>
      <c r="E128" s="81"/>
      <c r="F128" s="81"/>
      <c r="G128" s="81"/>
      <c r="H128" s="81"/>
      <c r="I128" s="1"/>
    </row>
    <row x14ac:dyDescent="0.25" r="129" customHeight="1" ht="18.75">
      <c r="A129" s="106"/>
      <c r="B129" s="189"/>
      <c r="C129" s="81"/>
      <c r="D129" s="81"/>
      <c r="E129" s="81"/>
      <c r="F129" s="81"/>
      <c r="G129" s="81"/>
      <c r="H129" s="81"/>
      <c r="I129" s="1"/>
    </row>
    <row x14ac:dyDescent="0.25" r="130" customHeight="1" ht="18.75">
      <c r="A130" s="106"/>
      <c r="B130" s="189"/>
      <c r="C130" s="81"/>
      <c r="D130" s="81"/>
      <c r="E130" s="81"/>
      <c r="F130" s="81"/>
      <c r="G130" s="81"/>
      <c r="H130" s="81"/>
      <c r="I130" s="1"/>
    </row>
    <row x14ac:dyDescent="0.25" r="131" customHeight="1" ht="18.75">
      <c r="A131" s="106"/>
      <c r="B131" s="189"/>
      <c r="C131" s="81"/>
      <c r="D131" s="81"/>
      <c r="E131" s="81"/>
      <c r="F131" s="81"/>
      <c r="G131" s="81"/>
      <c r="H131" s="81"/>
      <c r="I131" s="1"/>
    </row>
    <row x14ac:dyDescent="0.25" r="132" customHeight="1" ht="18.75">
      <c r="A132" s="106"/>
      <c r="B132" s="189"/>
      <c r="C132" s="81"/>
      <c r="D132" s="81"/>
      <c r="E132" s="81"/>
      <c r="F132" s="81"/>
      <c r="G132" s="81"/>
      <c r="H132" s="81"/>
      <c r="I132" s="1"/>
    </row>
    <row x14ac:dyDescent="0.25" r="133" customHeight="1" ht="18.75">
      <c r="A133" s="106"/>
      <c r="B133" s="189"/>
      <c r="C133" s="81"/>
      <c r="D133" s="81"/>
      <c r="E133" s="81"/>
      <c r="F133" s="81"/>
      <c r="G133" s="81"/>
      <c r="H133" s="81"/>
      <c r="I133" s="1"/>
    </row>
    <row x14ac:dyDescent="0.25" r="134" customHeight="1" ht="18.75">
      <c r="A134" s="106"/>
      <c r="B134" s="189"/>
      <c r="C134" s="81"/>
      <c r="D134" s="81"/>
      <c r="E134" s="81"/>
      <c r="F134" s="81"/>
      <c r="G134" s="81"/>
      <c r="H134" s="81"/>
      <c r="I134" s="1"/>
    </row>
    <row x14ac:dyDescent="0.25" r="135" customHeight="1" ht="18.75">
      <c r="A135" s="106"/>
      <c r="B135" s="189"/>
      <c r="C135" s="81"/>
      <c r="D135" s="81"/>
      <c r="E135" s="81"/>
      <c r="F135" s="81"/>
      <c r="G135" s="81"/>
      <c r="H135" s="81"/>
      <c r="I135" s="1"/>
    </row>
    <row x14ac:dyDescent="0.25" r="136" customHeight="1" ht="18.75">
      <c r="A136" s="106"/>
      <c r="B136" s="189"/>
      <c r="C136" s="81"/>
      <c r="D136" s="81"/>
      <c r="E136" s="81"/>
      <c r="F136" s="81"/>
      <c r="G136" s="81"/>
      <c r="H136" s="81"/>
      <c r="I136" s="1"/>
    </row>
    <row x14ac:dyDescent="0.25" r="137" customHeight="1" ht="18.75">
      <c r="A137" s="106"/>
      <c r="B137" s="189"/>
      <c r="C137" s="81"/>
      <c r="D137" s="81"/>
      <c r="E137" s="81"/>
      <c r="F137" s="81"/>
      <c r="G137" s="81"/>
      <c r="H137" s="81"/>
      <c r="I137" s="1"/>
    </row>
    <row x14ac:dyDescent="0.25" r="138" customHeight="1" ht="18.75">
      <c r="A138" s="106"/>
      <c r="B138" s="189"/>
      <c r="C138" s="81"/>
      <c r="D138" s="81"/>
      <c r="E138" s="81"/>
      <c r="F138" s="81"/>
      <c r="G138" s="81"/>
      <c r="H138" s="81"/>
      <c r="I138" s="1"/>
    </row>
    <row x14ac:dyDescent="0.25" r="139" customHeight="1" ht="18.75">
      <c r="A139" s="106"/>
      <c r="B139" s="189"/>
      <c r="C139" s="81"/>
      <c r="D139" s="81"/>
      <c r="E139" s="81"/>
      <c r="F139" s="81"/>
      <c r="G139" s="81"/>
      <c r="H139" s="81"/>
      <c r="I139" s="1"/>
    </row>
    <row x14ac:dyDescent="0.25" r="140" customHeight="1" ht="18.75">
      <c r="A140" s="106"/>
      <c r="B140" s="189"/>
      <c r="C140" s="81"/>
      <c r="D140" s="81"/>
      <c r="E140" s="81"/>
      <c r="F140" s="81"/>
      <c r="G140" s="81"/>
      <c r="H140" s="81"/>
      <c r="I140" s="1"/>
    </row>
  </sheetData>
  <mergeCells count="3">
    <mergeCell ref="A4:H4"/>
    <mergeCell ref="A16:B16"/>
    <mergeCell ref="A20:B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4"/>
  <sheetViews>
    <sheetView workbookViewId="0"/>
  </sheetViews>
  <sheetFormatPr defaultRowHeight="15" x14ac:dyDescent="0.25"/>
  <cols>
    <col min="1" max="1" style="9" width="29.719285714285714" customWidth="1" bestFit="1"/>
    <col min="2" max="2" style="410" width="6.433571428571429" customWidth="1" bestFit="1"/>
    <col min="3" max="3" style="410" width="6.433571428571429" customWidth="1" bestFit="1"/>
    <col min="4" max="4" style="9" width="6.433571428571429" customWidth="1" bestFit="1"/>
    <col min="5" max="5" style="9" width="11.862142857142858" customWidth="1" bestFit="1"/>
    <col min="6" max="6" style="348" width="13.576428571428572" customWidth="1" bestFit="1"/>
    <col min="7" max="7" style="348" width="13.576428571428572" customWidth="1" bestFit="1"/>
    <col min="8" max="8" style="348" width="13.576428571428572" customWidth="1" bestFit="1"/>
    <col min="9" max="9" style="348" width="13.576428571428572" customWidth="1" bestFit="1"/>
    <col min="10" max="10" style="348" width="13.576428571428572" customWidth="1" bestFit="1"/>
    <col min="11" max="11" style="348" width="13.576428571428572" customWidth="1" bestFit="1"/>
  </cols>
  <sheetData>
    <row x14ac:dyDescent="0.25" r="1" customHeight="1" ht="18.75">
      <c r="A1" s="12"/>
      <c r="B1" s="388"/>
      <c r="C1" s="388"/>
      <c r="D1" s="12"/>
      <c r="E1" s="389"/>
      <c r="F1" s="252"/>
      <c r="G1" s="252"/>
      <c r="H1" s="252"/>
      <c r="I1" s="252"/>
      <c r="J1" s="333">
        <f>+VN!G1</f>
      </c>
      <c r="K1" s="253">
        <f>+Pressupostos!E1</f>
      </c>
    </row>
    <row x14ac:dyDescent="0.25" r="2" customHeight="1" ht="18.75">
      <c r="A2" s="16"/>
      <c r="B2" s="390"/>
      <c r="C2" s="390"/>
      <c r="D2" s="16"/>
      <c r="E2" s="389"/>
      <c r="F2" s="252"/>
      <c r="G2" s="252"/>
      <c r="H2" s="252"/>
      <c r="I2" s="252"/>
      <c r="J2" s="252"/>
      <c r="K2" s="52">
        <f>+Pressupostos!B9</f>
      </c>
    </row>
    <row x14ac:dyDescent="0.25" r="3" customHeight="1" ht="18.75">
      <c r="A3" s="16"/>
      <c r="B3" s="390"/>
      <c r="C3" s="390"/>
      <c r="D3" s="16"/>
      <c r="E3" s="389"/>
      <c r="F3" s="252"/>
      <c r="G3" s="252"/>
      <c r="H3" s="252"/>
      <c r="I3" s="252"/>
      <c r="J3" s="252"/>
      <c r="K3" s="52"/>
    </row>
    <row x14ac:dyDescent="0.25" r="4" customHeight="1" ht="18.75">
      <c r="A4" s="20" t="s">
        <v>344</v>
      </c>
      <c r="B4" s="391"/>
      <c r="C4" s="391"/>
      <c r="D4" s="20"/>
      <c r="E4" s="20"/>
      <c r="F4" s="254"/>
      <c r="G4" s="254"/>
      <c r="H4" s="254"/>
      <c r="I4" s="254"/>
      <c r="J4" s="254"/>
      <c r="K4" s="254"/>
    </row>
    <row x14ac:dyDescent="0.25" r="5" customHeight="1" ht="18.75">
      <c r="A5" s="12"/>
      <c r="B5" s="388"/>
      <c r="C5" s="388"/>
      <c r="D5" s="12"/>
      <c r="E5" s="12"/>
      <c r="F5" s="89"/>
      <c r="G5" s="89"/>
      <c r="H5" s="89"/>
      <c r="I5" s="89"/>
      <c r="J5" s="89"/>
      <c r="K5" s="89"/>
    </row>
    <row x14ac:dyDescent="0.25" r="6" customHeight="1" ht="18.75">
      <c r="A6" s="12"/>
      <c r="B6" s="388"/>
      <c r="C6" s="388"/>
      <c r="D6" s="12"/>
      <c r="E6" s="12"/>
      <c r="F6" s="89"/>
      <c r="G6" s="89"/>
      <c r="H6" s="89"/>
      <c r="I6" s="89"/>
      <c r="J6" s="89"/>
      <c r="K6" s="89"/>
    </row>
    <row x14ac:dyDescent="0.25" r="7" customHeight="1" ht="18.75">
      <c r="A7" s="215"/>
      <c r="B7" s="392"/>
      <c r="C7" s="392"/>
      <c r="D7" s="215"/>
      <c r="E7" s="215"/>
      <c r="F7" s="49">
        <f>+VN!C8</f>
      </c>
      <c r="G7" s="49">
        <f>+VN!D8</f>
      </c>
      <c r="H7" s="49">
        <f>+VN!E8</f>
      </c>
      <c r="I7" s="49">
        <f>+VN!F8</f>
      </c>
      <c r="J7" s="49">
        <f>+VN!G8</f>
      </c>
      <c r="K7" s="49">
        <f>+VN!H8</f>
      </c>
    </row>
    <row x14ac:dyDescent="0.25" r="8" customHeight="1" ht="18.75">
      <c r="A8" s="55" t="s">
        <v>345</v>
      </c>
      <c r="B8" s="393"/>
      <c r="C8" s="393"/>
      <c r="D8" s="55"/>
      <c r="E8" s="123"/>
      <c r="F8" s="394">
        <v>12</v>
      </c>
      <c r="G8" s="394">
        <v>12</v>
      </c>
      <c r="H8" s="394">
        <v>12</v>
      </c>
      <c r="I8" s="394">
        <v>12</v>
      </c>
      <c r="J8" s="394">
        <v>12</v>
      </c>
      <c r="K8" s="395">
        <v>12</v>
      </c>
    </row>
    <row x14ac:dyDescent="0.25" r="9" customHeight="1" ht="18.75">
      <c r="A9" s="55" t="s">
        <v>346</v>
      </c>
      <c r="B9" s="393"/>
      <c r="C9" s="393"/>
      <c r="D9" s="55"/>
      <c r="E9" s="123"/>
      <c r="F9" s="352">
        <v>0</v>
      </c>
      <c r="G9" s="396"/>
      <c r="H9" s="396"/>
      <c r="I9" s="396"/>
      <c r="J9" s="396"/>
      <c r="K9" s="396"/>
    </row>
    <row x14ac:dyDescent="0.25" r="10" customHeight="1" ht="18.75">
      <c r="A10" s="12"/>
      <c r="B10" s="388"/>
      <c r="C10" s="388"/>
      <c r="D10" s="12"/>
      <c r="E10" s="12"/>
      <c r="F10" s="89"/>
      <c r="G10" s="89"/>
      <c r="H10" s="89"/>
      <c r="I10" s="89"/>
      <c r="J10" s="89"/>
      <c r="K10" s="89"/>
    </row>
    <row x14ac:dyDescent="0.25" r="11" customHeight="1" ht="18.75">
      <c r="A11" s="12"/>
      <c r="B11" s="388"/>
      <c r="C11" s="388"/>
      <c r="D11" s="12"/>
      <c r="E11" s="12"/>
      <c r="F11" s="89"/>
      <c r="G11" s="89"/>
      <c r="H11" s="89"/>
      <c r="I11" s="89"/>
      <c r="J11" s="89"/>
      <c r="K11" s="89"/>
    </row>
    <row x14ac:dyDescent="0.25" r="12" customHeight="1" ht="18.75">
      <c r="A12" s="215"/>
      <c r="B12" s="392" t="s">
        <v>347</v>
      </c>
      <c r="C12" s="392" t="s">
        <v>348</v>
      </c>
      <c r="D12" s="215" t="s">
        <v>349</v>
      </c>
      <c r="E12" s="215" t="s">
        <v>350</v>
      </c>
      <c r="F12" s="49">
        <f>+VN!C8</f>
      </c>
      <c r="G12" s="49">
        <f>+VN!D8</f>
      </c>
      <c r="H12" s="49">
        <f>+VN!E8</f>
      </c>
      <c r="I12" s="49">
        <f>+VN!F8</f>
      </c>
      <c r="J12" s="49">
        <f>+VN!G8</f>
      </c>
      <c r="K12" s="49">
        <f>+VN!H8</f>
      </c>
    </row>
    <row x14ac:dyDescent="0.25" r="13" customHeight="1" ht="18.75">
      <c r="A13" s="55" t="s">
        <v>351</v>
      </c>
      <c r="B13" s="397">
        <f>Pressupostos!$B$21</f>
      </c>
      <c r="C13" s="398">
        <f>100%-D13</f>
      </c>
      <c r="D13" s="399"/>
      <c r="E13" s="400"/>
      <c r="F13" s="401">
        <f>E13*$F$8</f>
      </c>
      <c r="G13" s="401">
        <f>+E13*$G$8*(1+$G$9)</f>
      </c>
      <c r="H13" s="401">
        <f>+E13*(1+$G$9)*(1+$H$9)*H$8</f>
      </c>
      <c r="I13" s="401">
        <f>+H13*(1+I$9)</f>
      </c>
      <c r="J13" s="401">
        <f>+I13*(1+J$9)</f>
      </c>
      <c r="K13" s="401">
        <f>+J13*(1+K$9)</f>
      </c>
    </row>
    <row x14ac:dyDescent="0.25" r="14" customHeight="1" ht="18.75">
      <c r="A14" s="55" t="s">
        <v>352</v>
      </c>
      <c r="B14" s="402"/>
      <c r="C14" s="403"/>
      <c r="D14" s="402"/>
      <c r="E14" s="404"/>
      <c r="F14" s="404"/>
      <c r="G14" s="404"/>
      <c r="H14" s="404"/>
      <c r="I14" s="404"/>
      <c r="J14" s="404"/>
      <c r="K14" s="404"/>
    </row>
    <row x14ac:dyDescent="0.25" r="15" customHeight="1" ht="18.75">
      <c r="A15" s="123" t="s">
        <v>353</v>
      </c>
      <c r="B15" s="397">
        <f>Pressupostos!$B$21</f>
      </c>
      <c r="C15" s="398">
        <f>100%-D15</f>
      </c>
      <c r="D15" s="399"/>
      <c r="E15" s="400"/>
      <c r="F15" s="401">
        <f>E15*$F$8</f>
      </c>
      <c r="G15" s="401">
        <f>+E15*$G$8*(1+$G$9)</f>
      </c>
      <c r="H15" s="401">
        <f>+E15*(1+$G$9)*(1+$H$9)*H$8</f>
      </c>
      <c r="I15" s="401">
        <f>+H15*(1+I$9)</f>
      </c>
      <c r="J15" s="401">
        <f>+I15*(1+J$9)</f>
      </c>
      <c r="K15" s="401">
        <f>+J15*(1+K$9)</f>
      </c>
    </row>
    <row x14ac:dyDescent="0.25" r="16" customHeight="1" ht="18.75">
      <c r="A16" s="123" t="s">
        <v>354</v>
      </c>
      <c r="B16" s="397">
        <f>Pressupostos!$B$21</f>
      </c>
      <c r="C16" s="398">
        <f>100%-D16</f>
      </c>
      <c r="D16" s="399"/>
      <c r="E16" s="400"/>
      <c r="F16" s="401">
        <f>E16*$F$8</f>
      </c>
      <c r="G16" s="401">
        <f>+E16*$G$8*(1+$G$9)</f>
      </c>
      <c r="H16" s="401">
        <f>+E16*(1+$G$9)*(1+$H$9)*H$8</f>
      </c>
      <c r="I16" s="401">
        <f>+H16*(1+I$9)</f>
      </c>
      <c r="J16" s="401">
        <f>+I16*(1+J$9)</f>
      </c>
      <c r="K16" s="401">
        <f>+J16*(1+K$9)</f>
      </c>
    </row>
    <row x14ac:dyDescent="0.25" r="17" customHeight="1" ht="18.75">
      <c r="A17" s="123" t="s">
        <v>355</v>
      </c>
      <c r="B17" s="397">
        <f>Pressupostos!$B$21</f>
      </c>
      <c r="C17" s="398">
        <f>100%-D17</f>
      </c>
      <c r="D17" s="399"/>
      <c r="E17" s="400"/>
      <c r="F17" s="401">
        <f>E17*$F$8</f>
      </c>
      <c r="G17" s="401">
        <f>G19</f>
      </c>
      <c r="H17" s="401">
        <f>+E17*(1+$G$9)*(1+$H$9)*H$8</f>
      </c>
      <c r="I17" s="401">
        <f>+H17*(1+I$9)</f>
      </c>
      <c r="J17" s="401">
        <f>+I17*(1+J$9)</f>
      </c>
      <c r="K17" s="401">
        <f>+J17*(1+K$9)</f>
      </c>
    </row>
    <row x14ac:dyDescent="0.25" r="18" customHeight="1" ht="18.75">
      <c r="A18" s="123" t="s">
        <v>356</v>
      </c>
      <c r="B18" s="397">
        <f>Pressupostos!$B$21</f>
      </c>
      <c r="C18" s="398">
        <f>100%-D18</f>
      </c>
      <c r="D18" s="399"/>
      <c r="E18" s="400"/>
      <c r="F18" s="401">
        <f>E18*$F$8</f>
      </c>
      <c r="G18" s="401">
        <f>+E18*$G$8*(1+$G$9)</f>
      </c>
      <c r="H18" s="401">
        <f>+E18*(1+$G$9)*(1+$H$9)*H$8</f>
      </c>
      <c r="I18" s="401">
        <f>+H18*(1+I$9)</f>
      </c>
      <c r="J18" s="401">
        <f>+I18*(1+J$9)</f>
      </c>
      <c r="K18" s="401">
        <f>+J18*(1+K$9)</f>
      </c>
    </row>
    <row x14ac:dyDescent="0.25" r="19" customHeight="1" ht="18.75">
      <c r="A19" s="123" t="s">
        <v>357</v>
      </c>
      <c r="B19" s="397">
        <f>Pressupostos!$B$21</f>
      </c>
      <c r="C19" s="398">
        <f>100%-D19</f>
      </c>
      <c r="D19" s="399"/>
      <c r="E19" s="400"/>
      <c r="F19" s="401">
        <f>E19*$F$8</f>
      </c>
      <c r="G19" s="401">
        <f>+E19*$G$8*(1+$G$9)</f>
      </c>
      <c r="H19" s="401">
        <f>+E19*(1+$G$9)*(1+$H$9)*H$8</f>
      </c>
      <c r="I19" s="401">
        <f>+H19*(1+I$9)</f>
      </c>
      <c r="J19" s="401">
        <f>+I19*(1+J$9)</f>
      </c>
      <c r="K19" s="401">
        <f>+J19*(1+K$9)</f>
      </c>
    </row>
    <row x14ac:dyDescent="0.25" r="20" customHeight="1" ht="18.75">
      <c r="A20" s="123" t="s">
        <v>358</v>
      </c>
      <c r="B20" s="397">
        <f>Pressupostos!$B$21</f>
      </c>
      <c r="C20" s="398">
        <f>100%-D20</f>
      </c>
      <c r="D20" s="399"/>
      <c r="E20" s="400"/>
      <c r="F20" s="401">
        <f>E20*$F$8</f>
      </c>
      <c r="G20" s="401">
        <f>+E20*$G$8*(1+$G$9)</f>
      </c>
      <c r="H20" s="401">
        <f>+E20*(1+$G$9)*(1+$H$9)*H$8</f>
      </c>
      <c r="I20" s="401">
        <f>+H20*(1+I$9)</f>
      </c>
      <c r="J20" s="401">
        <f>+I20*(1+J$9)</f>
      </c>
      <c r="K20" s="401">
        <f>+J20*(1+K$9)</f>
      </c>
    </row>
    <row x14ac:dyDescent="0.25" r="21" customHeight="1" ht="18.75">
      <c r="A21" s="55" t="s">
        <v>359</v>
      </c>
      <c r="B21" s="402"/>
      <c r="C21" s="403"/>
      <c r="D21" s="402"/>
      <c r="E21" s="404"/>
      <c r="F21" s="404"/>
      <c r="G21" s="404"/>
      <c r="H21" s="404"/>
      <c r="I21" s="404"/>
      <c r="J21" s="404"/>
      <c r="K21" s="404"/>
    </row>
    <row x14ac:dyDescent="0.25" r="22" customHeight="1" ht="18.75">
      <c r="A22" s="123" t="s">
        <v>360</v>
      </c>
      <c r="B22" s="397">
        <f>Pressupostos!$B$21</f>
      </c>
      <c r="C22" s="398">
        <f>100%-D22</f>
      </c>
      <c r="D22" s="399"/>
      <c r="E22" s="400"/>
      <c r="F22" s="401">
        <f>E22*$F$8</f>
      </c>
      <c r="G22" s="401">
        <f>+E22*$G$8*(1+$G$9)</f>
      </c>
      <c r="H22" s="401">
        <f>+E22*(1+$G$9)*(1+$H$9)*H$8</f>
      </c>
      <c r="I22" s="401">
        <f>+H22*(1+I$9)</f>
      </c>
      <c r="J22" s="401">
        <f>+I22*(1+J$9)</f>
      </c>
      <c r="K22" s="401">
        <f>+J22*(1+K$9)</f>
      </c>
    </row>
    <row x14ac:dyDescent="0.25" r="23" customHeight="1" ht="18.75">
      <c r="A23" s="123" t="s">
        <v>361</v>
      </c>
      <c r="B23" s="397">
        <f>Pressupostos!$B$21</f>
      </c>
      <c r="C23" s="398">
        <f>100%-D23</f>
      </c>
      <c r="D23" s="399"/>
      <c r="E23" s="400"/>
      <c r="F23" s="401">
        <f>E23*$F$8</f>
      </c>
      <c r="G23" s="401">
        <f>+E23*$G$8*(1+$G$9)</f>
      </c>
      <c r="H23" s="401">
        <f>+E23*(1+$G$9)*(1+$H$9)*H$8</f>
      </c>
      <c r="I23" s="401">
        <f>+H23*(1+I$9)</f>
      </c>
      <c r="J23" s="401">
        <f>+I23*(1+J$9)</f>
      </c>
      <c r="K23" s="401">
        <f>+J23*(1+K$9)</f>
      </c>
    </row>
    <row x14ac:dyDescent="0.25" r="24" customHeight="1" ht="18.75">
      <c r="A24" s="123" t="s">
        <v>362</v>
      </c>
      <c r="B24" s="397">
        <f>Pressupostos!$B$21</f>
      </c>
      <c r="C24" s="398">
        <f>100%-D24</f>
      </c>
      <c r="D24" s="399"/>
      <c r="E24" s="400"/>
      <c r="F24" s="401">
        <f>E24*$F$8</f>
      </c>
      <c r="G24" s="401">
        <f>+E24*$G$8*(1+$G$9)</f>
      </c>
      <c r="H24" s="401">
        <f>+E24*(1+$G$9)*(1+$H$9)*H$8</f>
      </c>
      <c r="I24" s="401">
        <f>+H24*(1+I$9)</f>
      </c>
      <c r="J24" s="401">
        <f>+I24*(1+J$9)</f>
      </c>
      <c r="K24" s="401">
        <f>+J24*(1+K$9)</f>
      </c>
    </row>
    <row x14ac:dyDescent="0.25" r="25" customHeight="1" ht="18.75">
      <c r="A25" s="123" t="s">
        <v>363</v>
      </c>
      <c r="B25" s="397">
        <f>Pressupostos!$B$21</f>
      </c>
      <c r="C25" s="398">
        <f>100%-D25</f>
      </c>
      <c r="D25" s="399"/>
      <c r="E25" s="400"/>
      <c r="F25" s="401">
        <f>E25*$F$8</f>
      </c>
      <c r="G25" s="401">
        <f>+E25*$G$8*(1+$G$9)</f>
      </c>
      <c r="H25" s="401">
        <f>+E25*(1+$G$9)*(1+$H$9)*H$8</f>
      </c>
      <c r="I25" s="401">
        <f>+H25*(1+I$9)</f>
      </c>
      <c r="J25" s="401">
        <f>+I25*(1+J$9)</f>
      </c>
      <c r="K25" s="401">
        <f>+J25*(1+K$9)</f>
      </c>
    </row>
    <row x14ac:dyDescent="0.25" r="26" customHeight="1" ht="18.75">
      <c r="A26" s="55" t="s">
        <v>364</v>
      </c>
      <c r="B26" s="402"/>
      <c r="C26" s="403"/>
      <c r="D26" s="402"/>
      <c r="E26" s="404"/>
      <c r="F26" s="404"/>
      <c r="G26" s="404"/>
      <c r="H26" s="404"/>
      <c r="I26" s="404"/>
      <c r="J26" s="404"/>
      <c r="K26" s="404"/>
    </row>
    <row x14ac:dyDescent="0.25" r="27" customHeight="1" ht="18.75">
      <c r="A27" s="123" t="s">
        <v>365</v>
      </c>
      <c r="B27" s="397">
        <f>Pressupostos!$B$21</f>
      </c>
      <c r="C27" s="398">
        <f>100%-D27</f>
      </c>
      <c r="D27" s="399"/>
      <c r="E27" s="400"/>
      <c r="F27" s="401">
        <f>E27*$F$8</f>
      </c>
      <c r="G27" s="401">
        <f>+E27*$G$8*(1+$G$9)</f>
      </c>
      <c r="H27" s="401">
        <f>+E27*(1+$G$9)*(1+$H$9)*H$8</f>
      </c>
      <c r="I27" s="401">
        <f>+H27*(1+I$9)</f>
      </c>
      <c r="J27" s="401">
        <f>+I27*(1+J$9)</f>
      </c>
      <c r="K27" s="401">
        <f>+J27*(1+K$9)</f>
      </c>
    </row>
    <row x14ac:dyDescent="0.25" r="28" customHeight="1" ht="18.75">
      <c r="A28" s="123" t="s">
        <v>366</v>
      </c>
      <c r="B28" s="397">
        <f>Pressupostos!$B$21</f>
      </c>
      <c r="C28" s="398">
        <f>100%-D28</f>
      </c>
      <c r="D28" s="399"/>
      <c r="E28" s="400"/>
      <c r="F28" s="401">
        <f>E28*$F$8</f>
      </c>
      <c r="G28" s="401">
        <f>+E28*$G$8*(1+$G$9)</f>
      </c>
      <c r="H28" s="401">
        <f>+E28*(1+$G$9)*(1+$H$9)*H$8</f>
      </c>
      <c r="I28" s="401">
        <f>+H28*(1+I$9)</f>
      </c>
      <c r="J28" s="401">
        <f>+I28*(1+J$9)</f>
      </c>
      <c r="K28" s="401">
        <f>+J28*(1+K$9)</f>
      </c>
    </row>
    <row x14ac:dyDescent="0.25" r="29" customHeight="1" ht="18.75">
      <c r="A29" s="123" t="s">
        <v>367</v>
      </c>
      <c r="B29" s="397">
        <v>0.06</v>
      </c>
      <c r="C29" s="398">
        <f>100%-D29</f>
      </c>
      <c r="D29" s="399"/>
      <c r="E29" s="400"/>
      <c r="F29" s="401">
        <f>E29*$F$8</f>
      </c>
      <c r="G29" s="401">
        <f>+E29*$G$8*(1+$G$9)</f>
      </c>
      <c r="H29" s="401">
        <f>+E29*(1+$G$9)*(1+$H$9)*H$8</f>
      </c>
      <c r="I29" s="401">
        <f>+H29*(1+I$9)</f>
      </c>
      <c r="J29" s="401">
        <f>+I29*(1+J$9)</f>
      </c>
      <c r="K29" s="401">
        <f>+J29*(1+K$9)</f>
      </c>
    </row>
    <row x14ac:dyDescent="0.25" r="30" customHeight="1" ht="18.75">
      <c r="A30" s="55" t="s">
        <v>368</v>
      </c>
      <c r="B30" s="402"/>
      <c r="C30" s="403"/>
      <c r="D30" s="402"/>
      <c r="E30" s="404"/>
      <c r="F30" s="404"/>
      <c r="G30" s="404"/>
      <c r="H30" s="404"/>
      <c r="I30" s="404"/>
      <c r="J30" s="404"/>
      <c r="K30" s="404"/>
    </row>
    <row x14ac:dyDescent="0.25" r="31" customHeight="1" ht="18.75">
      <c r="A31" s="123" t="s">
        <v>369</v>
      </c>
      <c r="B31" s="397">
        <f>Pressupostos!$B$21</f>
      </c>
      <c r="C31" s="398">
        <f>100%-D31</f>
      </c>
      <c r="D31" s="399"/>
      <c r="E31" s="400"/>
      <c r="F31" s="401">
        <f>E31*$F$8</f>
      </c>
      <c r="G31" s="401">
        <f>+E31*$G$8*(1+$G$9)</f>
      </c>
      <c r="H31" s="401">
        <f>+E31*(1+$G$9)*(1+$H$9)*H$8</f>
      </c>
      <c r="I31" s="401">
        <f>+H31*(1+I$9)</f>
      </c>
      <c r="J31" s="401">
        <f>+I31*(1+J$9)</f>
      </c>
      <c r="K31" s="401">
        <f>+J31*(1+K$9)</f>
      </c>
    </row>
    <row x14ac:dyDescent="0.25" r="32" customHeight="1" ht="18.75">
      <c r="A32" s="123" t="s">
        <v>370</v>
      </c>
      <c r="B32" s="397">
        <f>Pressupostos!$B$21</f>
      </c>
      <c r="C32" s="398">
        <f>100%-D32</f>
      </c>
      <c r="D32" s="399"/>
      <c r="E32" s="400"/>
      <c r="F32" s="401">
        <f>E32*$F$8</f>
      </c>
      <c r="G32" s="401">
        <f>+E32*$G$8*(1+$G$9)</f>
      </c>
      <c r="H32" s="401">
        <f>+E32*(1+$G$9)*(1+$H$9)*H$8</f>
      </c>
      <c r="I32" s="401">
        <f>+H32*(1+I$9)</f>
      </c>
      <c r="J32" s="401">
        <f>+I32*(1+J$9)</f>
      </c>
      <c r="K32" s="401">
        <f>+J32*(1+K$9)</f>
      </c>
    </row>
    <row x14ac:dyDescent="0.25" r="33" customHeight="1" ht="18.75">
      <c r="A33" s="123" t="s">
        <v>371</v>
      </c>
      <c r="B33" s="397">
        <f>Pressupostos!$B$21</f>
      </c>
      <c r="C33" s="398">
        <f>100%-D33</f>
      </c>
      <c r="D33" s="399"/>
      <c r="E33" s="400"/>
      <c r="F33" s="401">
        <f>E33*$F$8</f>
      </c>
      <c r="G33" s="401">
        <f>+E33*$G$8*(1+$G$9)</f>
      </c>
      <c r="H33" s="401">
        <f>+E33*(1+$G$9)*(1+$H$9)*H$8</f>
      </c>
      <c r="I33" s="401">
        <f>+H33*(1+I$9)</f>
      </c>
      <c r="J33" s="401">
        <f>+I33*(1+J$9)</f>
      </c>
      <c r="K33" s="401">
        <f>+J33*(1+K$9)</f>
      </c>
    </row>
    <row x14ac:dyDescent="0.25" r="34" customHeight="1" ht="18.75">
      <c r="A34" s="55" t="s">
        <v>372</v>
      </c>
      <c r="B34" s="402"/>
      <c r="C34" s="403"/>
      <c r="D34" s="402"/>
      <c r="E34" s="404"/>
      <c r="F34" s="404"/>
      <c r="G34" s="404"/>
      <c r="H34" s="404"/>
      <c r="I34" s="404"/>
      <c r="J34" s="404"/>
      <c r="K34" s="404"/>
    </row>
    <row x14ac:dyDescent="0.25" r="35" customHeight="1" ht="18.75">
      <c r="A35" s="123" t="s">
        <v>373</v>
      </c>
      <c r="B35" s="397">
        <f>Pressupostos!$B$21</f>
      </c>
      <c r="C35" s="398">
        <f>100%-D35</f>
      </c>
      <c r="D35" s="399"/>
      <c r="E35" s="400"/>
      <c r="F35" s="401">
        <f>E35*$F$8</f>
      </c>
      <c r="G35" s="401">
        <f>+E35*$G$8*(1+$G$9)</f>
      </c>
      <c r="H35" s="401">
        <v>0</v>
      </c>
      <c r="I35" s="401">
        <f>+H35*(1+I$9)</f>
      </c>
      <c r="J35" s="401">
        <f>+I35*(1+J$9)</f>
      </c>
      <c r="K35" s="401">
        <f>+J35*(1+K$9)</f>
      </c>
    </row>
    <row x14ac:dyDescent="0.25" r="36" customHeight="1" ht="18.75">
      <c r="A36" s="123" t="s">
        <v>374</v>
      </c>
      <c r="B36" s="397">
        <f>Pressupostos!$B$21</f>
      </c>
      <c r="C36" s="398">
        <f>100%-D36</f>
      </c>
      <c r="D36" s="399"/>
      <c r="E36" s="400"/>
      <c r="F36" s="401">
        <f>E36*$F$8</f>
      </c>
      <c r="G36" s="401">
        <f>+E36*$G$8*(1+$G$9)</f>
      </c>
      <c r="H36" s="401">
        <f>+E36*(1+$G$9)*(1+$H$9)*H$8</f>
      </c>
      <c r="I36" s="401">
        <f>+H36*(1+I$9)</f>
      </c>
      <c r="J36" s="401">
        <f>+I36*(1+J$9)</f>
      </c>
      <c r="K36" s="401">
        <f>+J36*(1+K$9)</f>
      </c>
    </row>
    <row x14ac:dyDescent="0.25" r="37" customHeight="1" ht="18.75">
      <c r="A37" s="123" t="s">
        <v>375</v>
      </c>
      <c r="B37" s="397">
        <v>0</v>
      </c>
      <c r="C37" s="398">
        <f>100%-D37</f>
      </c>
      <c r="D37" s="399"/>
      <c r="E37" s="400"/>
      <c r="F37" s="401">
        <f>E37*$F$8</f>
      </c>
      <c r="G37" s="401">
        <f>+E37*$G$8*(1+$G$9)</f>
      </c>
      <c r="H37" s="401">
        <f>+E37*(1+$G$9)*(1+$H$9)*H$8</f>
      </c>
      <c r="I37" s="401">
        <f>+H37*(1+I$9)</f>
      </c>
      <c r="J37" s="401">
        <f>+I37*(1+J$9)</f>
      </c>
      <c r="K37" s="401">
        <f>+J37*(1+K$9)</f>
      </c>
    </row>
    <row x14ac:dyDescent="0.25" r="38" customHeight="1" ht="18.75">
      <c r="A38" s="123" t="s">
        <v>376</v>
      </c>
      <c r="B38" s="397">
        <f>Pressupostos!$B$21</f>
      </c>
      <c r="C38" s="398">
        <f>100%-D38</f>
      </c>
      <c r="D38" s="399"/>
      <c r="E38" s="400"/>
      <c r="F38" s="401">
        <f>E38*$F$8</f>
      </c>
      <c r="G38" s="401">
        <f>+E38*$G$8*(1+$G$9)</f>
      </c>
      <c r="H38" s="401">
        <f>+E38*(1+$G$9)*(1+$H$9)*H$8</f>
      </c>
      <c r="I38" s="401">
        <f>+H38*(1+I$9)</f>
      </c>
      <c r="J38" s="401">
        <f>+I38*(1+J$9)</f>
      </c>
      <c r="K38" s="401">
        <f>+J38*(1+K$9)</f>
      </c>
    </row>
    <row x14ac:dyDescent="0.25" r="39" customHeight="1" ht="18.75">
      <c r="A39" s="123" t="s">
        <v>377</v>
      </c>
      <c r="B39" s="397">
        <f>Pressupostos!$B$21</f>
      </c>
      <c r="C39" s="398">
        <f>100%-D39</f>
      </c>
      <c r="D39" s="399"/>
      <c r="E39" s="400"/>
      <c r="F39" s="401">
        <f>E39*$F$8</f>
      </c>
      <c r="G39" s="401">
        <f>+E39*$G$8*(1+$G$9)</f>
      </c>
      <c r="H39" s="401">
        <f>+E39*(1+$G$9)*(1+$H$9)*H$8</f>
      </c>
      <c r="I39" s="401">
        <f>+H39*(1+I$9)</f>
      </c>
      <c r="J39" s="401">
        <f>+I39*(1+J$9)</f>
      </c>
      <c r="K39" s="401">
        <f>+J39*(1+K$9)</f>
      </c>
    </row>
    <row x14ac:dyDescent="0.25" r="40" customHeight="1" ht="18.75">
      <c r="A40" s="123" t="s">
        <v>378</v>
      </c>
      <c r="B40" s="397">
        <f>Pressupostos!$B$21</f>
      </c>
      <c r="C40" s="398">
        <f>100%-D40</f>
      </c>
      <c r="D40" s="399"/>
      <c r="E40" s="400"/>
      <c r="F40" s="401">
        <f>E40*$F$8</f>
      </c>
      <c r="G40" s="401">
        <f>+E40*$G$8*(1+$G$9)</f>
      </c>
      <c r="H40" s="401">
        <f>+E40*(1+$G$9)*(1+$H$9)*H$8</f>
      </c>
      <c r="I40" s="401">
        <f>+H40*(1+I$9)</f>
      </c>
      <c r="J40" s="401">
        <f>+I40*(1+J$9)</f>
      </c>
      <c r="K40" s="401">
        <f>+J40*(1+K$9)</f>
      </c>
    </row>
    <row x14ac:dyDescent="0.25" r="41" customHeight="1" ht="18.75">
      <c r="A41" s="123" t="s">
        <v>379</v>
      </c>
      <c r="B41" s="397">
        <f>Pressupostos!$B$21</f>
      </c>
      <c r="C41" s="398">
        <f>100%-D41</f>
      </c>
      <c r="D41" s="399"/>
      <c r="E41" s="400"/>
      <c r="F41" s="401">
        <f>E41*$F$8</f>
      </c>
      <c r="G41" s="401">
        <f>+E41*$G$8*(1+$G$9)</f>
      </c>
      <c r="H41" s="401">
        <f>+E41*(1+$G$9)*(1+$H$9)*H$8</f>
      </c>
      <c r="I41" s="401">
        <f>+H41*(1+I$9)</f>
      </c>
      <c r="J41" s="401">
        <f>+I41*(1+J$9)</f>
      </c>
      <c r="K41" s="401">
        <f>+J41*(1+K$9)</f>
      </c>
    </row>
    <row x14ac:dyDescent="0.25" r="42" customHeight="1" ht="18.75">
      <c r="A42" s="55" t="s">
        <v>380</v>
      </c>
      <c r="B42" s="397">
        <f>Pressupostos!$B$21</f>
      </c>
      <c r="C42" s="398">
        <f>100%-D42</f>
      </c>
      <c r="D42" s="399"/>
      <c r="E42" s="400"/>
      <c r="F42" s="401">
        <f>E42*$F$8</f>
      </c>
      <c r="G42" s="401">
        <f>+E42*$G$8*(1+$G$9)</f>
      </c>
      <c r="H42" s="401">
        <f>+E42*(1+$G$9)*(1+$H$9)*H$8</f>
      </c>
      <c r="I42" s="401">
        <f>+H42*(1+I$9)</f>
      </c>
      <c r="J42" s="401">
        <f>+I42*(1+J$9)</f>
      </c>
      <c r="K42" s="401">
        <f>+J42*(1+K$9)</f>
      </c>
    </row>
    <row x14ac:dyDescent="0.25" r="43" customHeight="1" ht="15">
      <c r="A43" s="219" t="s">
        <v>381</v>
      </c>
      <c r="B43" s="405"/>
      <c r="C43" s="405"/>
      <c r="D43" s="219"/>
      <c r="E43" s="219"/>
      <c r="F43" s="406">
        <f>SUM(F13:F42)</f>
      </c>
      <c r="G43" s="406">
        <f>SUM(G13:G42)</f>
      </c>
      <c r="H43" s="406">
        <f>SUM(H13:H42)</f>
      </c>
      <c r="I43" s="406">
        <f>SUM(I13:I42)</f>
      </c>
      <c r="J43" s="406">
        <f>SUM(J13:J42)</f>
      </c>
      <c r="K43" s="406">
        <f>SUM(K13:K42)</f>
      </c>
    </row>
    <row x14ac:dyDescent="0.25" r="44" customHeight="1" ht="18.75">
      <c r="A44" s="12"/>
      <c r="B44" s="388"/>
      <c r="C44" s="388"/>
      <c r="D44" s="12"/>
      <c r="E44" s="12"/>
      <c r="F44" s="52"/>
      <c r="G44" s="52"/>
      <c r="H44" s="52"/>
      <c r="I44" s="52"/>
      <c r="J44" s="52"/>
      <c r="K44" s="52"/>
    </row>
    <row x14ac:dyDescent="0.25" r="45" customHeight="1" ht="14.25">
      <c r="A45" s="242" t="s">
        <v>382</v>
      </c>
      <c r="B45" s="266"/>
      <c r="C45" s="266"/>
      <c r="D45" s="266"/>
      <c r="E45" s="220"/>
      <c r="F45" s="406">
        <f>(F13*$C$13)+(F15*$C$15)+(F16*$C$16)+(F17*$C$17)+(F18*$C$18)+(F19*$C$19)+(F20*$C$20)+(F22*$C$22)+(F23*$C$23)+(F24*$C$24)+(F25*$C$25)+(F27*$C$27)+(F28*$C$28)+(F29*$C$29)+(F31*$C$31)+(F32*$C$32)+(F33*$C$33)+(F35*$C$35)+(F36*$C$36)+(F37*$C$37)+(F38*$C$38)+(F39*$C$39)+(F40*$C$40)+(F41*$C$41)+(F42*$C$42)</f>
      </c>
      <c r="G45" s="406">
        <f>(G13*$C$13)+(G15*$C$15)+(G16*$C$16)+(G17*$C$17)+(G18*$C$18)+(G19*$C$19)+(G20*$C$20)+(G22*$C$22)+(G23*$C$23)+(G24*$C$24)+(G25*$C$25)+(G27*$C$27)+(G28*$C$28)+(G29*$C$29)+(G31*$C$31)+(G32*$C$32)+(G33*$C$33)+(G35*$C$35)+(G36*$C$36)+(G37*$C$37)+(G38*$C$38)+(G39*$C$39)+(G40*$C$40)+(G41*$C$41)+(G42*$C$42)</f>
      </c>
      <c r="H45" s="406">
        <f>(H13*$C$13)+(H15*$C$15)+(H16*$C$16)+(H17*$C$17)+(H18*$C$18)+(H19*$C$19)+(H20*$C$20)+(H22*$C$22)+(H23*$C$23)+(H24*$C$24)+(H25*$C$25)+(H27*$C$27)+(H28*$C$28)+(H29*$C$29)+(H31*$C$31)+(H32*$C$32)+(H33*$C$33)+(H35*$C$35)+(H36*$C$36)+(H37*$C$37)+(H38*$C$38)+(H39*$C$39)+(H40*$C$40)+(H41*$C$41)+(H42*$C$42)</f>
      </c>
      <c r="I45" s="406">
        <f>(I13*$C$13)+(I15*$C$15)+(I16*$C$16)+(I17*$C$17)+(I18*$C$18)+(I19*$C$19)+(I20*$C$20)+(I22*$C$22)+(I23*$C$23)+(I24*$C$24)+(I25*$C$25)+(I27*$C$27)+(I28*$C$28)+(I29*$C$29)+(I31*$C$31)+(I32*$C$32)+(I33*$C$33)+(I35*$C$35)+(I36*$C$36)+(I37*$C$37)+(I38*$C$38)+(I39*$C$39)+(I40*$C$40)+(I41*$C$41)+(I42*$C$42)</f>
      </c>
      <c r="J45" s="406">
        <f>(J13*$C$13)+(J15*$C$15)+(J16*$C$16)+(J17*$C$17)+(J18*$C$18)+(J19*$C$19)+(J20*$C$20)+(J22*$C$22)+(J23*$C$23)+(J24*$C$24)+(J25*$C$25)+(J27*$C$27)+(J28*$C$28)+(J29*$C$29)+(J31*$C$31)+(J32*$C$32)+(J33*$C$33)+(J35*$C$35)+(J36*$C$36)+(J37*$C$37)+(J38*$C$38)+(J39*$C$39)+(J40*$C$40)+(J41*$C$41)+(J42*$C$42)</f>
      </c>
      <c r="K45" s="406">
        <f>(K13*$C$13)+(K15*$C$15)+(K16*$C$16)+(K17*$C$17)+(K18*$C$18)+(K19*$C$19)+(K20*$C$20)+(K22*$C$22)+(K23*$C$23)+(K24*$C$24)+(K25*$C$25)+(K27*$C$27)+(K28*$C$28)+(K29*$C$29)+(K31*$C$31)+(K32*$C$32)+(K33*$C$33)+(K35*$C$35)+(K36*$C$36)+(K37*$C$37)+(K38*$C$38)+(K39*$C$39)+(K40*$C$40)+(K41*$C$41)+(K42*$C$42)</f>
      </c>
    </row>
    <row x14ac:dyDescent="0.25" r="46" customHeight="1" ht="18.75">
      <c r="A46" s="12"/>
      <c r="B46" s="388"/>
      <c r="C46" s="388"/>
      <c r="D46" s="12"/>
      <c r="E46" s="12"/>
      <c r="F46" s="52"/>
      <c r="G46" s="52"/>
      <c r="H46" s="52"/>
      <c r="I46" s="52"/>
      <c r="J46" s="52"/>
      <c r="K46" s="52"/>
    </row>
    <row x14ac:dyDescent="0.25" r="47" customHeight="1" ht="18.75">
      <c r="A47" s="242" t="s">
        <v>383</v>
      </c>
      <c r="B47" s="266"/>
      <c r="C47" s="266"/>
      <c r="D47" s="266"/>
      <c r="E47" s="220"/>
      <c r="F47" s="406">
        <f>(F13*$D$13)+(F15*$D$15)+(F16*$D$16)+(F17*$D$17)+(F18*$D$18)+(F19*$D$19)+(F20*$D$20)+(F22*$D$22)+(F23*$D$23)+(F24*$D$24)+(F25*$D$25)+(F27*$D$27)+(F28*$D$28)+(F29*$D$29)+(F31*$D$31)+(F32*$D$32)+(F33*$D$33)+(F35*$D$35)+(F36*$D$36)+(F37*$D$37)+(F38*$D$38)+(F39*$D$39)+(F40*$D$40)+(F41*$D$41)+(F42*$D$42)</f>
      </c>
      <c r="G47" s="406">
        <f>(G13*$D$13)+(G15*$D$15)+(G16*$D$16)+(G17*$D$17)+(G18*$D$18)+(G19*$D$19)+(G20*$D$20)+(G22*$D$22)+(G23*$D$23)+(G24*$D$24)+(G25*$D$25)+(G27*$D$27)+(G28*$D$28)+(G29*$D$29)+(G31*$D$31)+(G32*$D$32)+(G33*$D$33)+(G35*$D$35)+(G36*$D$36)+(G37*$D$37)+(G38*$D$38)+(G39*$D$39)+(G40*$D$40)+(G41*$D$41)+(G42*$D$42)</f>
      </c>
      <c r="H47" s="406">
        <f>(H13*$D$13)+(H15*$D$15)+(H16*$D$16)+(H17*$D$17)+(H18*$D$18)+(H19*$D$19)+(H20*$D$20)+(H22*$D$22)+(H23*$D$23)+(H24*$D$24)+(H25*$D$25)+(H27*$D$27)+(H28*$D$28)+(H29*$D$29)+(H31*$D$31)+(H32*$D$32)+(H33*$D$33)+(H35*$D$35)+(H36*$D$36)+(H37*$D$37)+(H38*$D$38)+(H39*$D$39)+(H40*$D$40)+(H41*$D$41)+(H42*$D$42)</f>
      </c>
      <c r="I47" s="406">
        <f>(I13*$D$13)+(I15*$D$15)+(I16*$D$16)+(I17*$D$17)+(I18*$D$18)+(I19*$D$19)+(I20*$D$20)+(I22*$D$22)+(I23*$D$23)+(I24*$D$24)+(I25*$D$25)+(I27*$D$27)+(I28*$D$28)+(I29*$D$29)+(I31*$D$31)+(I32*$D$32)+(I33*$D$33)+(I35*$D$35)+(I36*$D$36)+(I37*$D$37)+(I38*$D$38)+(I39*$D$39)+(I40*$D$40)+(I41*$D$41)+(I42*$D$42)</f>
      </c>
      <c r="J47" s="406">
        <f>(J13*$D$13)+(J15*$D$15)+(J16*$D$16)+(J17*$D$17)+(J18*$D$18)+(J19*$D$19)+(J20*$D$20)+(J22*$D$22)+(J23*$D$23)+(J24*$D$24)+(J25*$D$25)+(J27*$D$27)+(J28*$D$28)+(J29*$D$29)+(J31*$D$31)+(J32*$D$32)+(J33*$D$33)+(J35*$D$35)+(J36*$D$36)+(J37*$D$37)+(J38*$D$38)+(J39*$D$39)+(J40*$D$40)+(J41*$D$41)+(J42*$D$42)</f>
      </c>
      <c r="K47" s="406">
        <f>(K13*$D$13)+(K15*$D$15)+(K16*$D$16)+(K17*$D$17)+(K18*$D$18)+(K19*$D$19)+(K20*$D$20)+(K22*$D$22)+(K23*$D$23)+(K24*$D$24)+(K25*$D$25)+(K27*$D$27)+(K28*$D$28)+(K29*$D$29)+(K31*$D$31)+(K32*$D$32)+(K33*$D$33)+(K35*$D$35)+(K36*$D$36)+(K37*$D$37)+(K38*$D$38)+(K39*$D$39)+(K40*$D$40)+(K41*$D$41)+(K42*$D$42)</f>
      </c>
    </row>
    <row x14ac:dyDescent="0.25" r="48" customHeight="1" ht="18.75">
      <c r="A48" s="12"/>
      <c r="B48" s="388"/>
      <c r="C48" s="388"/>
      <c r="D48" s="12"/>
      <c r="E48" s="12"/>
      <c r="F48" s="52"/>
      <c r="G48" s="52"/>
      <c r="H48" s="52"/>
      <c r="I48" s="52"/>
      <c r="J48" s="52"/>
      <c r="K48" s="52"/>
    </row>
    <row x14ac:dyDescent="0.25" r="49" customHeight="1" ht="18.75">
      <c r="A49" s="242" t="s">
        <v>384</v>
      </c>
      <c r="B49" s="266"/>
      <c r="C49" s="266"/>
      <c r="D49" s="266"/>
      <c r="E49" s="220"/>
      <c r="F49" s="406">
        <f>F45+F47</f>
      </c>
      <c r="G49" s="406">
        <f>G45+G47</f>
      </c>
      <c r="H49" s="406">
        <f>H45+H47</f>
      </c>
      <c r="I49" s="406">
        <f>I45+I47</f>
      </c>
      <c r="J49" s="406">
        <f>J45+J47</f>
      </c>
      <c r="K49" s="406">
        <f>K45+K47</f>
      </c>
    </row>
    <row x14ac:dyDescent="0.25" r="50" customHeight="1" ht="18.75">
      <c r="A50" s="12"/>
      <c r="B50" s="388"/>
      <c r="C50" s="388"/>
      <c r="D50" s="12"/>
      <c r="E50" s="12"/>
      <c r="F50" s="52"/>
      <c r="G50" s="52"/>
      <c r="H50" s="52"/>
      <c r="I50" s="52"/>
      <c r="J50" s="52"/>
      <c r="K50" s="52"/>
    </row>
    <row x14ac:dyDescent="0.25" r="51" customHeight="1" ht="18.75">
      <c r="A51" s="242" t="s">
        <v>259</v>
      </c>
      <c r="B51" s="407"/>
      <c r="C51" s="407"/>
      <c r="D51" s="242"/>
      <c r="E51" s="242"/>
      <c r="F51" s="408">
        <f>(F13*$B$13)+(F15*$B$15)+(F16*$B$16)+(F17*$B$17)+(F18*$B$18)+(F19*$B$19)+(F20*$B$20)+(F22*$B$22)+(F23*$B$23)+(F24*$B$24)+(F25*$B$25)+(F27*$B$27)+(F29*$B$29)+(F36*$B$36)+(F41*$B$41)</f>
      </c>
      <c r="G51" s="408">
        <f>(G13*$B$13)+(G15*$B$15)+(G16*$B$16)+(G17*$B$17)+(G18*$B$18)+(G19*$B$19)+(G20*$B$20)+(G22*$B$22)+(G23*$B$23)+(G24*$B$24)+(G25*$B$25)+(G27*$B$27)+(G29*$B$29)+(G36*$B$36)+(G41*$B$41)</f>
      </c>
      <c r="H51" s="408">
        <f>(H13*$B$13)+(H15*$B$15)+(H16*$B$16)+(H17*$B$17)+(H18*$B$18)+(H19*$B$19)+(H20*$B$20)+(H22*$B$22)+(H23*$B$23)+(H24*$B$24)+(H25*$B$25)+(H27*$B$27)+(H29*$B$29)+(H36*$B$36)+(H41*$B$41)</f>
      </c>
      <c r="I51" s="408">
        <f>(I13*$B$13)+(I15*$B$15)+(I16*$B$16)+(I17*$B$17)+(I18*$B$18)+(I19*$B$19)+(I20*$B$20)+(I22*$B$22)+(I23*$B$23)+(I24*$B$24)+(I25*$B$25)+(I27*$B$27)+(I29*$B$29)+(I36*$B$36)+(I41*$B$41)</f>
      </c>
      <c r="J51" s="408">
        <f>(J13*$B$13)+(J15*$B$15)+(J16*$B$16)+(J17*$B$17)+(J18*$B$18)+(J19*$B$19)+(J20*$B$20)+(J22*$B$22)+(J23*$B$23)+(J24*$B$24)+(J25*$B$25)+(J27*$B$27)+(J29*$B$29)+(J36*$B$36)+(J41*$B$41)</f>
      </c>
      <c r="K51" s="408">
        <f>(K13*$B$13)+(K15*$B$15)+(K16*$B$16)+(K17*$B$17)+(K18*$B$18)+(K19*$B$19)+(K20*$B$20)+(K22*$B$22)+(K23*$B$23)+(K24*$B$24)+(K25*$B$25)+(K27*$B$27)+(K29*$B$29)+(K36*$B$36)+(K41*$B$41)</f>
      </c>
    </row>
    <row x14ac:dyDescent="0.25" r="52" customHeight="1" ht="18.75">
      <c r="A52" s="12"/>
      <c r="B52" s="388"/>
      <c r="C52" s="388"/>
      <c r="D52" s="12"/>
      <c r="E52" s="12"/>
      <c r="F52" s="52"/>
      <c r="G52" s="52"/>
      <c r="H52" s="52"/>
      <c r="I52" s="52"/>
      <c r="J52" s="52"/>
      <c r="K52" s="52"/>
    </row>
    <row x14ac:dyDescent="0.25" r="53" customHeight="1" ht="18.75">
      <c r="A53" s="242" t="s">
        <v>385</v>
      </c>
      <c r="B53" s="266"/>
      <c r="C53" s="266"/>
      <c r="D53" s="266"/>
      <c r="E53" s="266"/>
      <c r="F53" s="406">
        <f>F43+F51</f>
      </c>
      <c r="G53" s="406">
        <f>G43+G51</f>
      </c>
      <c r="H53" s="406">
        <f>H43+H51</f>
      </c>
      <c r="I53" s="406">
        <f>I43+I51</f>
      </c>
      <c r="J53" s="406">
        <f>J43+J51</f>
      </c>
      <c r="K53" s="406">
        <f>K43+K51</f>
      </c>
    </row>
    <row x14ac:dyDescent="0.25" r="54" customHeight="1" ht="18.75">
      <c r="A54" s="1"/>
      <c r="B54" s="409"/>
      <c r="C54" s="409"/>
      <c r="D54" s="1"/>
      <c r="E54" s="1"/>
      <c r="F54" s="347"/>
      <c r="G54" s="347"/>
      <c r="H54" s="347"/>
      <c r="I54" s="347"/>
      <c r="J54" s="347"/>
      <c r="K54" s="347"/>
    </row>
  </sheetData>
  <mergeCells count="7">
    <mergeCell ref="A4:K4"/>
    <mergeCell ref="A43:E43"/>
    <mergeCell ref="A45:D45"/>
    <mergeCell ref="A47:D47"/>
    <mergeCell ref="A49:D49"/>
    <mergeCell ref="A51:E51"/>
    <mergeCell ref="A53:E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5"/>
  <sheetViews>
    <sheetView workbookViewId="0"/>
  </sheetViews>
  <sheetFormatPr defaultRowHeight="15" x14ac:dyDescent="0.25"/>
  <cols>
    <col min="1" max="1" style="331" width="25.290714285714284" customWidth="1" bestFit="1"/>
    <col min="2" max="2" style="209" width="5.2907142857142855" customWidth="1" bestFit="1"/>
    <col min="3" max="3" style="332" width="12.576428571428572" customWidth="1" bestFit="1"/>
    <col min="4" max="4" style="190" width="13.576428571428572" customWidth="1" bestFit="1"/>
    <col min="5" max="5" style="190" width="13.576428571428572" customWidth="1" bestFit="1"/>
    <col min="6" max="6" style="190" width="13.576428571428572" customWidth="1" bestFit="1"/>
    <col min="7" max="7" style="190" width="13.576428571428572" customWidth="1" bestFit="1"/>
    <col min="8" max="8" style="190" width="13.576428571428572" customWidth="1" bestFit="1"/>
    <col min="9" max="9" style="190" width="13.576428571428572" customWidth="1" bestFit="1"/>
  </cols>
  <sheetData>
    <row x14ac:dyDescent="0.25" r="1" customHeight="1" ht="18.75">
      <c r="A1" s="38"/>
      <c r="B1" s="12"/>
      <c r="C1" s="280"/>
      <c r="D1" s="226"/>
      <c r="E1" s="226"/>
      <c r="F1" s="226"/>
      <c r="G1" s="226"/>
      <c r="H1" s="227">
        <f>+VN!G1</f>
      </c>
      <c r="I1" s="259">
        <f>+Pressupostos!E1</f>
      </c>
    </row>
    <row x14ac:dyDescent="0.25" r="2" customHeight="1" ht="18.75">
      <c r="A2" s="192"/>
      <c r="B2" s="16"/>
      <c r="C2" s="280"/>
      <c r="D2" s="226"/>
      <c r="E2" s="226"/>
      <c r="F2" s="226"/>
      <c r="G2" s="226"/>
      <c r="H2" s="226"/>
      <c r="I2" s="30">
        <f>+Pressupostos!B9</f>
      </c>
    </row>
    <row x14ac:dyDescent="0.25" r="3" customHeight="1" ht="18.75">
      <c r="A3" s="192"/>
      <c r="B3" s="16"/>
      <c r="C3" s="280"/>
      <c r="D3" s="226"/>
      <c r="E3" s="226"/>
      <c r="F3" s="226"/>
      <c r="G3" s="226"/>
      <c r="H3" s="226"/>
      <c r="I3" s="30"/>
    </row>
    <row x14ac:dyDescent="0.25" r="4" customHeight="1" ht="18.75">
      <c r="A4" s="45" t="s">
        <v>194</v>
      </c>
      <c r="B4" s="260"/>
      <c r="C4" s="349"/>
      <c r="D4" s="261"/>
      <c r="E4" s="261"/>
      <c r="F4" s="261"/>
      <c r="G4" s="261"/>
      <c r="H4" s="261"/>
      <c r="I4" s="261"/>
    </row>
    <row x14ac:dyDescent="0.25" r="5" customHeight="1" ht="18.75">
      <c r="A5" s="281"/>
      <c r="B5" s="350"/>
      <c r="C5" s="282"/>
      <c r="D5" s="281"/>
      <c r="E5" s="281"/>
      <c r="F5" s="281"/>
      <c r="G5" s="281"/>
      <c r="H5" s="281"/>
      <c r="I5" s="281"/>
    </row>
    <row x14ac:dyDescent="0.25" r="6" customHeight="1" ht="18.75">
      <c r="A6" s="49"/>
      <c r="B6" s="215"/>
      <c r="C6" s="289"/>
      <c r="D6" s="49">
        <f>+VN!C8</f>
      </c>
      <c r="E6" s="49">
        <f>+VN!D8</f>
      </c>
      <c r="F6" s="49">
        <f>+VN!E8</f>
      </c>
      <c r="G6" s="49">
        <f>+VN!F8</f>
      </c>
      <c r="H6" s="49">
        <f>+VN!G8</f>
      </c>
      <c r="I6" s="49">
        <f>+VN!H8</f>
      </c>
    </row>
    <row x14ac:dyDescent="0.25" r="7" customHeight="1" ht="18.75">
      <c r="A7" s="262" t="s">
        <v>303</v>
      </c>
      <c r="B7" s="55"/>
      <c r="C7" s="290"/>
      <c r="D7" s="351">
        <v>14</v>
      </c>
      <c r="E7" s="351">
        <v>14</v>
      </c>
      <c r="F7" s="351">
        <v>14</v>
      </c>
      <c r="G7" s="351">
        <v>14</v>
      </c>
      <c r="H7" s="351">
        <f>+G7</f>
      </c>
      <c r="I7" s="351">
        <f>+H7</f>
      </c>
    </row>
    <row x14ac:dyDescent="0.25" r="8" customHeight="1" ht="18.75">
      <c r="A8" s="262" t="s">
        <v>304</v>
      </c>
      <c r="B8" s="55"/>
      <c r="C8" s="290"/>
      <c r="D8" s="352">
        <v>0</v>
      </c>
      <c r="E8" s="265"/>
      <c r="F8" s="265"/>
      <c r="G8" s="265"/>
      <c r="H8" s="265"/>
      <c r="I8" s="265"/>
    </row>
    <row x14ac:dyDescent="0.25" r="9" customHeight="1" ht="18.75">
      <c r="A9" s="353" t="s">
        <v>305</v>
      </c>
      <c r="B9" s="354"/>
      <c r="C9" s="355"/>
      <c r="D9" s="32">
        <v>12</v>
      </c>
      <c r="E9" s="32">
        <v>12</v>
      </c>
      <c r="F9" s="32">
        <v>12</v>
      </c>
      <c r="G9" s="32">
        <v>12</v>
      </c>
      <c r="H9" s="32">
        <v>12</v>
      </c>
      <c r="I9" s="32">
        <v>12</v>
      </c>
    </row>
    <row x14ac:dyDescent="0.25" r="10" customHeight="1" ht="18.75">
      <c r="A10" s="356"/>
      <c r="B10" s="356"/>
      <c r="C10" s="35"/>
      <c r="D10" s="38"/>
      <c r="E10" s="38"/>
      <c r="F10" s="38"/>
      <c r="G10" s="38"/>
      <c r="H10" s="38"/>
      <c r="I10" s="38"/>
    </row>
    <row x14ac:dyDescent="0.25" r="11" customHeight="1" ht="18.75">
      <c r="A11" s="357" t="s">
        <v>306</v>
      </c>
      <c r="B11" s="358"/>
      <c r="C11" s="359"/>
      <c r="D11" s="49">
        <f>+D6</f>
      </c>
      <c r="E11" s="49">
        <f>+E6</f>
      </c>
      <c r="F11" s="49">
        <f>+F6</f>
      </c>
      <c r="G11" s="49">
        <f>+G6</f>
      </c>
      <c r="H11" s="49">
        <f>+H6</f>
      </c>
      <c r="I11" s="49">
        <f>+I6</f>
      </c>
    </row>
    <row x14ac:dyDescent="0.25" r="12" customHeight="1" ht="18.75">
      <c r="A12" s="353" t="s">
        <v>307</v>
      </c>
      <c r="B12" s="354"/>
      <c r="C12" s="355"/>
      <c r="D12" s="32"/>
      <c r="E12" s="32"/>
      <c r="F12" s="32"/>
      <c r="G12" s="32"/>
      <c r="H12" s="32"/>
      <c r="I12" s="32"/>
    </row>
    <row x14ac:dyDescent="0.25" r="13" customHeight="1" ht="18.75">
      <c r="A13" s="360" t="s">
        <v>308</v>
      </c>
      <c r="B13" s="26"/>
      <c r="C13" s="361"/>
      <c r="D13" s="32"/>
      <c r="E13" s="32"/>
      <c r="F13" s="32"/>
      <c r="G13" s="32"/>
      <c r="H13" s="32"/>
      <c r="I13" s="32"/>
    </row>
    <row x14ac:dyDescent="0.25" r="14" customHeight="1" ht="18.75">
      <c r="A14" s="360" t="s">
        <v>309</v>
      </c>
      <c r="B14" s="26"/>
      <c r="C14" s="361"/>
      <c r="D14" s="32"/>
      <c r="E14" s="32"/>
      <c r="F14" s="32"/>
      <c r="G14" s="32"/>
      <c r="H14" s="32"/>
      <c r="I14" s="32"/>
    </row>
    <row x14ac:dyDescent="0.25" r="15" customHeight="1" ht="18.75">
      <c r="A15" s="360" t="s">
        <v>310</v>
      </c>
      <c r="B15" s="26"/>
      <c r="C15" s="361"/>
      <c r="D15" s="32"/>
      <c r="E15" s="32"/>
      <c r="F15" s="32"/>
      <c r="G15" s="32"/>
      <c r="H15" s="32"/>
      <c r="I15" s="32"/>
    </row>
    <row x14ac:dyDescent="0.25" r="16" customHeight="1" ht="18.75">
      <c r="A16" s="360" t="s">
        <v>311</v>
      </c>
      <c r="B16" s="26"/>
      <c r="C16" s="361"/>
      <c r="D16" s="32"/>
      <c r="E16" s="32"/>
      <c r="F16" s="32"/>
      <c r="G16" s="32"/>
      <c r="H16" s="32"/>
      <c r="I16" s="32"/>
    </row>
    <row x14ac:dyDescent="0.25" r="17" customHeight="1" ht="18.75">
      <c r="A17" s="360" t="s">
        <v>312</v>
      </c>
      <c r="B17" s="26"/>
      <c r="C17" s="361"/>
      <c r="D17" s="32"/>
      <c r="E17" s="32"/>
      <c r="F17" s="32"/>
      <c r="G17" s="32"/>
      <c r="H17" s="32"/>
      <c r="I17" s="32"/>
    </row>
    <row x14ac:dyDescent="0.25" r="18" customHeight="1" ht="18.75">
      <c r="A18" s="360" t="s">
        <v>313</v>
      </c>
      <c r="B18" s="26"/>
      <c r="C18" s="361"/>
      <c r="D18" s="32"/>
      <c r="E18" s="32"/>
      <c r="F18" s="32"/>
      <c r="G18" s="32"/>
      <c r="H18" s="32"/>
      <c r="I18" s="32"/>
    </row>
    <row x14ac:dyDescent="0.25" r="19" customHeight="1" ht="18.75">
      <c r="A19" s="360" t="s">
        <v>314</v>
      </c>
      <c r="B19" s="26"/>
      <c r="C19" s="361"/>
      <c r="D19" s="32"/>
      <c r="E19" s="32"/>
      <c r="F19" s="32"/>
      <c r="G19" s="32"/>
      <c r="H19" s="32"/>
      <c r="I19" s="32"/>
    </row>
    <row x14ac:dyDescent="0.25" r="20" customHeight="1" ht="18.75">
      <c r="A20" s="360" t="s">
        <v>315</v>
      </c>
      <c r="B20" s="26"/>
      <c r="C20" s="361"/>
      <c r="D20" s="32"/>
      <c r="E20" s="32"/>
      <c r="F20" s="32"/>
      <c r="G20" s="32"/>
      <c r="H20" s="32"/>
      <c r="I20" s="32"/>
    </row>
    <row x14ac:dyDescent="0.25" r="21" customHeight="1" ht="18.75">
      <c r="A21" s="362"/>
      <c r="B21" s="363"/>
      <c r="C21" s="364"/>
      <c r="D21" s="365"/>
      <c r="E21" s="365"/>
      <c r="F21" s="365"/>
      <c r="G21" s="365"/>
      <c r="H21" s="365"/>
      <c r="I21" s="365"/>
    </row>
    <row x14ac:dyDescent="0.25" r="22" customHeight="1" ht="18.75">
      <c r="A22" s="362"/>
      <c r="B22" s="363"/>
      <c r="C22" s="364"/>
      <c r="D22" s="365"/>
      <c r="E22" s="365"/>
      <c r="F22" s="365"/>
      <c r="G22" s="365"/>
      <c r="H22" s="365"/>
      <c r="I22" s="365"/>
    </row>
    <row x14ac:dyDescent="0.25" r="23" customHeight="1" ht="18.75">
      <c r="A23" s="271" t="s">
        <v>24</v>
      </c>
      <c r="B23" s="219"/>
      <c r="C23" s="366"/>
      <c r="D23" s="271">
        <f>+SUM(D12:D22)</f>
      </c>
      <c r="E23" s="271">
        <f>+SUM(E12:E22)</f>
      </c>
      <c r="F23" s="271">
        <f>+SUM(F12:F22)</f>
      </c>
      <c r="G23" s="271">
        <f>+SUM(G12:G22)</f>
      </c>
      <c r="H23" s="271">
        <f>+SUM(H12:H22)</f>
      </c>
      <c r="I23" s="271">
        <f>+SUM(I12:I22)</f>
      </c>
    </row>
    <row x14ac:dyDescent="0.25" r="24" customHeight="1" ht="18.75">
      <c r="A24" s="356"/>
      <c r="B24" s="356"/>
      <c r="C24" s="35"/>
      <c r="D24" s="38"/>
      <c r="E24" s="38"/>
      <c r="F24" s="38"/>
      <c r="G24" s="38"/>
      <c r="H24" s="38"/>
      <c r="I24" s="38"/>
    </row>
    <row x14ac:dyDescent="0.25" r="25" customHeight="1" ht="18.75">
      <c r="A25" s="356"/>
      <c r="B25" s="356"/>
      <c r="C25" s="35"/>
      <c r="D25" s="38"/>
      <c r="E25" s="38"/>
      <c r="F25" s="38"/>
      <c r="G25" s="38"/>
      <c r="H25" s="38"/>
      <c r="I25" s="38"/>
    </row>
    <row x14ac:dyDescent="0.25" r="26" customHeight="1" ht="18.75">
      <c r="A26" s="357" t="s">
        <v>316</v>
      </c>
      <c r="B26" s="358"/>
      <c r="C26" s="359"/>
      <c r="D26" s="49">
        <f>+D21</f>
      </c>
      <c r="E26" s="49">
        <f>+E21</f>
      </c>
      <c r="F26" s="49">
        <f>+F21</f>
      </c>
      <c r="G26" s="49">
        <f>+G21</f>
      </c>
      <c r="H26" s="49">
        <f>+H21</f>
      </c>
      <c r="I26" s="49">
        <f>+I21</f>
      </c>
    </row>
    <row x14ac:dyDescent="0.25" r="27" customHeight="1" ht="18.75">
      <c r="A27" s="367">
        <f>+A12</f>
      </c>
      <c r="B27" s="368"/>
      <c r="C27" s="369"/>
      <c r="D27" s="370"/>
      <c r="E27" s="370"/>
      <c r="F27" s="370"/>
      <c r="G27" s="370"/>
      <c r="H27" s="370"/>
      <c r="I27" s="370"/>
    </row>
    <row x14ac:dyDescent="0.25" r="28" customHeight="1" ht="18.75">
      <c r="A28" s="371">
        <f>+A13</f>
      </c>
      <c r="B28" s="372"/>
      <c r="C28" s="373"/>
      <c r="D28" s="370"/>
      <c r="E28" s="370"/>
      <c r="F28" s="370"/>
      <c r="G28" s="370"/>
      <c r="H28" s="370"/>
      <c r="I28" s="370"/>
    </row>
    <row x14ac:dyDescent="0.25" r="29" customHeight="1" ht="18.75">
      <c r="A29" s="371">
        <f>+A14</f>
      </c>
      <c r="B29" s="372"/>
      <c r="C29" s="373"/>
      <c r="D29" s="370"/>
      <c r="E29" s="370"/>
      <c r="F29" s="370"/>
      <c r="G29" s="370"/>
      <c r="H29" s="370"/>
      <c r="I29" s="370"/>
    </row>
    <row x14ac:dyDescent="0.25" r="30" customHeight="1" ht="18.75">
      <c r="A30" s="371">
        <f>+A15</f>
      </c>
      <c r="B30" s="372"/>
      <c r="C30" s="373"/>
      <c r="D30" s="370"/>
      <c r="E30" s="370"/>
      <c r="F30" s="370"/>
      <c r="G30" s="370"/>
      <c r="H30" s="370"/>
      <c r="I30" s="370"/>
    </row>
    <row x14ac:dyDescent="0.25" r="31" customHeight="1" ht="18.75">
      <c r="A31" s="371">
        <f>+A16</f>
      </c>
      <c r="B31" s="372"/>
      <c r="C31" s="373"/>
      <c r="D31" s="370"/>
      <c r="E31" s="370"/>
      <c r="F31" s="370"/>
      <c r="G31" s="370"/>
      <c r="H31" s="370"/>
      <c r="I31" s="370"/>
    </row>
    <row x14ac:dyDescent="0.25" r="32" customHeight="1" ht="18.75">
      <c r="A32" s="371">
        <f>+A17</f>
      </c>
      <c r="B32" s="372"/>
      <c r="C32" s="373"/>
      <c r="D32" s="370"/>
      <c r="E32" s="370"/>
      <c r="F32" s="370"/>
      <c r="G32" s="370"/>
      <c r="H32" s="370"/>
      <c r="I32" s="370"/>
    </row>
    <row x14ac:dyDescent="0.25" r="33" customHeight="1" ht="18.75">
      <c r="A33" s="371">
        <f>+A18</f>
      </c>
      <c r="B33" s="372"/>
      <c r="C33" s="373"/>
      <c r="D33" s="370"/>
      <c r="E33" s="370"/>
      <c r="F33" s="370"/>
      <c r="G33" s="370"/>
      <c r="H33" s="370"/>
      <c r="I33" s="370"/>
    </row>
    <row x14ac:dyDescent="0.25" r="34" customHeight="1" ht="18.75">
      <c r="A34" s="371">
        <f>+A19</f>
      </c>
      <c r="B34" s="372"/>
      <c r="C34" s="373"/>
      <c r="D34" s="370"/>
      <c r="E34" s="370"/>
      <c r="F34" s="370"/>
      <c r="G34" s="370"/>
      <c r="H34" s="370"/>
      <c r="I34" s="370"/>
    </row>
    <row x14ac:dyDescent="0.25" r="35" customHeight="1" ht="18.75">
      <c r="A35" s="371">
        <f>+A20</f>
      </c>
      <c r="B35" s="372"/>
      <c r="C35" s="373"/>
      <c r="D35" s="370"/>
      <c r="E35" s="370"/>
      <c r="F35" s="370"/>
      <c r="G35" s="370"/>
      <c r="H35" s="370"/>
      <c r="I35" s="370"/>
    </row>
    <row x14ac:dyDescent="0.25" r="36" customHeight="1" ht="18.75">
      <c r="A36" s="374">
        <f>+A21</f>
      </c>
      <c r="B36" s="375"/>
      <c r="C36" s="376"/>
      <c r="D36" s="365"/>
      <c r="E36" s="365"/>
      <c r="F36" s="365"/>
      <c r="G36" s="365"/>
      <c r="H36" s="365"/>
      <c r="I36" s="365"/>
    </row>
    <row x14ac:dyDescent="0.25" r="37" customHeight="1" ht="18.75">
      <c r="A37" s="374">
        <f>+A22</f>
      </c>
      <c r="B37" s="375"/>
      <c r="C37" s="376"/>
      <c r="D37" s="370"/>
      <c r="E37" s="370"/>
      <c r="F37" s="370"/>
      <c r="G37" s="370"/>
      <c r="H37" s="370"/>
      <c r="I37" s="370"/>
    </row>
    <row x14ac:dyDescent="0.25" r="38" customHeight="1" ht="18.75">
      <c r="A38" s="356"/>
      <c r="B38" s="356"/>
      <c r="C38" s="35"/>
      <c r="D38" s="38"/>
      <c r="E38" s="38"/>
      <c r="F38" s="38"/>
      <c r="G38" s="38"/>
      <c r="H38" s="38"/>
      <c r="I38" s="38"/>
    </row>
    <row x14ac:dyDescent="0.25" r="39" customHeight="1" ht="18.75">
      <c r="A39" s="356"/>
      <c r="B39" s="356"/>
      <c r="C39" s="35"/>
      <c r="D39" s="38"/>
      <c r="E39" s="38"/>
      <c r="F39" s="38"/>
      <c r="G39" s="38"/>
      <c r="H39" s="38"/>
      <c r="I39" s="38"/>
    </row>
    <row x14ac:dyDescent="0.25" r="40" customHeight="1" ht="18.75">
      <c r="A40" s="357" t="s">
        <v>317</v>
      </c>
      <c r="B40" s="358"/>
      <c r="C40" s="359"/>
      <c r="D40" s="49">
        <f>+D11</f>
      </c>
      <c r="E40" s="49">
        <f>+E11</f>
      </c>
      <c r="F40" s="49">
        <f>+F11</f>
      </c>
      <c r="G40" s="49">
        <f>+G11</f>
      </c>
      <c r="H40" s="49">
        <f>+H11</f>
      </c>
      <c r="I40" s="49">
        <f>+I11</f>
      </c>
    </row>
    <row x14ac:dyDescent="0.25" r="41" customHeight="1" ht="18.75">
      <c r="A41" s="367">
        <f>+A12</f>
      </c>
      <c r="B41" s="368"/>
      <c r="C41" s="369"/>
      <c r="D41" s="29"/>
      <c r="E41" s="29"/>
      <c r="F41" s="29"/>
      <c r="G41" s="29"/>
      <c r="H41" s="29"/>
      <c r="I41" s="29"/>
    </row>
    <row x14ac:dyDescent="0.25" r="42" customHeight="1" ht="18.75">
      <c r="A42" s="263">
        <f>+A13</f>
      </c>
      <c r="B42" s="55"/>
      <c r="C42" s="290"/>
      <c r="D42" s="29"/>
      <c r="E42" s="29"/>
      <c r="F42" s="29"/>
      <c r="G42" s="29"/>
      <c r="H42" s="29"/>
      <c r="I42" s="29"/>
    </row>
    <row x14ac:dyDescent="0.25" r="43" customHeight="1" ht="18.75">
      <c r="A43" s="263">
        <f>+A14</f>
      </c>
      <c r="B43" s="55"/>
      <c r="C43" s="290"/>
      <c r="D43" s="29"/>
      <c r="E43" s="29"/>
      <c r="F43" s="29"/>
      <c r="G43" s="29"/>
      <c r="H43" s="29"/>
      <c r="I43" s="29"/>
    </row>
    <row x14ac:dyDescent="0.25" r="44" customHeight="1" ht="18.75">
      <c r="A44" s="263">
        <f>+A15</f>
      </c>
      <c r="B44" s="55"/>
      <c r="C44" s="290"/>
      <c r="D44" s="29"/>
      <c r="E44" s="29"/>
      <c r="F44" s="29"/>
      <c r="G44" s="29"/>
      <c r="H44" s="29"/>
      <c r="I44" s="29"/>
    </row>
    <row x14ac:dyDescent="0.25" r="45" customHeight="1" ht="18.75">
      <c r="A45" s="263">
        <f>+A16</f>
      </c>
      <c r="B45" s="55"/>
      <c r="C45" s="290"/>
      <c r="D45" s="29"/>
      <c r="E45" s="29"/>
      <c r="F45" s="29"/>
      <c r="G45" s="29"/>
      <c r="H45" s="29"/>
      <c r="I45" s="29"/>
    </row>
    <row x14ac:dyDescent="0.25" r="46" customHeight="1" ht="18.75">
      <c r="A46" s="263">
        <f>+A17</f>
      </c>
      <c r="B46" s="55"/>
      <c r="C46" s="290"/>
      <c r="D46" s="29"/>
      <c r="E46" s="29"/>
      <c r="F46" s="29"/>
      <c r="G46" s="29"/>
      <c r="H46" s="29"/>
      <c r="I46" s="29"/>
    </row>
    <row x14ac:dyDescent="0.25" r="47" customHeight="1" ht="18.75">
      <c r="A47" s="263">
        <f>+A18</f>
      </c>
      <c r="B47" s="55"/>
      <c r="C47" s="290"/>
      <c r="D47" s="29"/>
      <c r="E47" s="29"/>
      <c r="F47" s="29"/>
      <c r="G47" s="29"/>
      <c r="H47" s="29"/>
      <c r="I47" s="29"/>
    </row>
    <row x14ac:dyDescent="0.25" r="48" customHeight="1" ht="18.75">
      <c r="A48" s="263">
        <f>+A19</f>
      </c>
      <c r="B48" s="55"/>
      <c r="C48" s="290"/>
      <c r="D48" s="29"/>
      <c r="E48" s="29"/>
      <c r="F48" s="29"/>
      <c r="G48" s="29"/>
      <c r="H48" s="29"/>
      <c r="I48" s="29"/>
    </row>
    <row x14ac:dyDescent="0.25" r="49" customHeight="1" ht="18.75">
      <c r="A49" s="263">
        <f>+A20</f>
      </c>
      <c r="B49" s="55"/>
      <c r="C49" s="290"/>
      <c r="D49" s="29"/>
      <c r="E49" s="29"/>
      <c r="F49" s="29"/>
      <c r="G49" s="29"/>
      <c r="H49" s="29"/>
      <c r="I49" s="29"/>
    </row>
    <row x14ac:dyDescent="0.25" r="50" customHeight="1" ht="18.75">
      <c r="A50" s="201">
        <f>+A21</f>
      </c>
      <c r="B50" s="377"/>
      <c r="C50" s="314"/>
      <c r="D50" s="270"/>
      <c r="E50" s="29"/>
      <c r="F50" s="29"/>
      <c r="G50" s="29"/>
      <c r="H50" s="29"/>
      <c r="I50" s="29"/>
    </row>
    <row x14ac:dyDescent="0.25" r="51" customHeight="1" ht="18.75">
      <c r="A51" s="201">
        <f>+A22</f>
      </c>
      <c r="B51" s="377"/>
      <c r="C51" s="314"/>
      <c r="D51" s="29"/>
      <c r="E51" s="29"/>
      <c r="F51" s="29"/>
      <c r="G51" s="29"/>
      <c r="H51" s="29"/>
      <c r="I51" s="29"/>
    </row>
    <row x14ac:dyDescent="0.25" r="52" customHeight="1" ht="18.75">
      <c r="A52" s="38"/>
      <c r="B52" s="30"/>
      <c r="C52" s="378"/>
      <c r="D52" s="30"/>
      <c r="E52" s="30"/>
      <c r="F52" s="30"/>
      <c r="G52" s="30"/>
      <c r="H52" s="30"/>
      <c r="I52" s="30"/>
    </row>
    <row x14ac:dyDescent="0.25" r="53" customHeight="1" ht="18.75">
      <c r="A53" s="38"/>
      <c r="B53" s="30"/>
      <c r="C53" s="378"/>
      <c r="D53" s="30"/>
      <c r="E53" s="30"/>
      <c r="F53" s="30"/>
      <c r="G53" s="30"/>
      <c r="H53" s="30"/>
      <c r="I53" s="30"/>
    </row>
    <row x14ac:dyDescent="0.25" r="54" customHeight="1" ht="18.75">
      <c r="A54" s="357" t="s">
        <v>318</v>
      </c>
      <c r="B54" s="358"/>
      <c r="C54" s="359"/>
      <c r="D54" s="49">
        <f>+D40</f>
      </c>
      <c r="E54" s="49">
        <f>+E40</f>
      </c>
      <c r="F54" s="49">
        <f>+F40</f>
      </c>
      <c r="G54" s="49">
        <f>+G40</f>
      </c>
      <c r="H54" s="49">
        <f>+H40</f>
      </c>
      <c r="I54" s="49">
        <f>+I40</f>
      </c>
    </row>
    <row x14ac:dyDescent="0.25" r="55" customHeight="1" ht="18.75">
      <c r="A55" s="263">
        <f>+A41</f>
      </c>
      <c r="B55" s="55"/>
      <c r="C55" s="290"/>
      <c r="D55" s="201">
        <f>+D12*D27/12*D41*$D$7</f>
      </c>
      <c r="E55" s="201">
        <f>+E12*E27/12*E41*$E$7</f>
      </c>
      <c r="F55" s="201">
        <f>+F12*F27/12*F41*$F$7</f>
      </c>
      <c r="G55" s="201">
        <f>+G12*G27/12*G41*$G$7</f>
      </c>
      <c r="H55" s="201">
        <f>+H12*H27/12*H41*$H$7</f>
      </c>
      <c r="I55" s="201">
        <f>+I12*I27/12*I41*$I$7</f>
      </c>
    </row>
    <row x14ac:dyDescent="0.25" r="56" customHeight="1" ht="18.75">
      <c r="A56" s="263">
        <f>+A42</f>
      </c>
      <c r="B56" s="55"/>
      <c r="C56" s="290"/>
      <c r="D56" s="201">
        <f>+D13*D28/12*D42*$D$7</f>
      </c>
      <c r="E56" s="201">
        <f>+E13*E28/12*E42*$E$7</f>
      </c>
      <c r="F56" s="201">
        <f>+F13*F28/12*F42*$F$7</f>
      </c>
      <c r="G56" s="201">
        <f>+G13*G28/12*G42*$G$7</f>
      </c>
      <c r="H56" s="201">
        <f>+H13*H28/12*H42*$H$7</f>
      </c>
      <c r="I56" s="201">
        <f>+I13*I28/12*I42*$I$7</f>
      </c>
    </row>
    <row x14ac:dyDescent="0.25" r="57" customHeight="1" ht="18.75">
      <c r="A57" s="263">
        <f>+A43</f>
      </c>
      <c r="B57" s="55"/>
      <c r="C57" s="290"/>
      <c r="D57" s="201">
        <f>+D14*D29/12*D43*$D$7</f>
      </c>
      <c r="E57" s="201">
        <f>+E14*E29/12*E43*$E$7</f>
      </c>
      <c r="F57" s="201">
        <f>+F14*F29/12*F43*$F$7</f>
      </c>
      <c r="G57" s="201">
        <f>+G14*G29/12*G43*$G$7</f>
      </c>
      <c r="H57" s="201">
        <f>+H14*H29/12*H43*$H$7</f>
      </c>
      <c r="I57" s="201">
        <f>+I14*I29/12*I43*$I$7</f>
      </c>
    </row>
    <row x14ac:dyDescent="0.25" r="58" customHeight="1" ht="18.75">
      <c r="A58" s="263">
        <f>+A44</f>
      </c>
      <c r="B58" s="55"/>
      <c r="C58" s="290"/>
      <c r="D58" s="201">
        <f>+D15*D30/12*D44*$D$7</f>
      </c>
      <c r="E58" s="201">
        <f>+E15*E30/12*E44*$E$7</f>
      </c>
      <c r="F58" s="201">
        <f>+F15*F30/12*F44*$F$7</f>
      </c>
      <c r="G58" s="201">
        <f>+G15*G30/12*G44*$G$7</f>
      </c>
      <c r="H58" s="201">
        <f>+H15*H30/12*H44*$H$7</f>
      </c>
      <c r="I58" s="201">
        <f>+I15*I30/12*I44*$I$7</f>
      </c>
    </row>
    <row x14ac:dyDescent="0.25" r="59" customHeight="1" ht="18.75">
      <c r="A59" s="263">
        <f>+A45</f>
      </c>
      <c r="B59" s="55"/>
      <c r="C59" s="290"/>
      <c r="D59" s="201">
        <f>+D16*D31/12*D45*$D$7</f>
      </c>
      <c r="E59" s="201">
        <f>+E16*E31/12*E45*$E$7</f>
      </c>
      <c r="F59" s="201">
        <f>+F16*F31/12*F45*$F$7</f>
      </c>
      <c r="G59" s="201">
        <f>+G16*G31/12*G45*$G$7</f>
      </c>
      <c r="H59" s="201">
        <f>+H16*H31/12*H45*$H$7</f>
      </c>
      <c r="I59" s="201">
        <f>+I16*I31/12*I45*$I$7</f>
      </c>
    </row>
    <row x14ac:dyDescent="0.25" r="60" customHeight="1" ht="18.75">
      <c r="A60" s="263">
        <f>+A46</f>
      </c>
      <c r="B60" s="55"/>
      <c r="C60" s="290"/>
      <c r="D60" s="201">
        <f>+D17*D32/12*D46*$D$7</f>
      </c>
      <c r="E60" s="201">
        <f>+E17*E32/12*E46*$E$7</f>
      </c>
      <c r="F60" s="201">
        <f>+F17*F32/12*F46*$F$7</f>
      </c>
      <c r="G60" s="201">
        <f>+G17*G32/12*G46*$G$7</f>
      </c>
      <c r="H60" s="201">
        <f>+H17*H32/12*H46*$H$7</f>
      </c>
      <c r="I60" s="201">
        <f>+I17*I32/12*I46*$I$7</f>
      </c>
    </row>
    <row x14ac:dyDescent="0.25" r="61" customHeight="1" ht="18.75">
      <c r="A61" s="263">
        <f>+A47</f>
      </c>
      <c r="B61" s="55"/>
      <c r="C61" s="290"/>
      <c r="D61" s="201">
        <f>+D18*D33/12*D47*$D$7</f>
      </c>
      <c r="E61" s="201">
        <f>+E18*E33/12*E47*$E$7</f>
      </c>
      <c r="F61" s="201">
        <f>+F18*F33/12*F47*$F$7</f>
      </c>
      <c r="G61" s="201">
        <f>+G18*G33/12*G47*$G$7</f>
      </c>
      <c r="H61" s="201">
        <f>+H18*H33/12*H47*$H$7</f>
      </c>
      <c r="I61" s="201">
        <f>+I18*I33/12*I47*$I$7</f>
      </c>
    </row>
    <row x14ac:dyDescent="0.25" r="62" customHeight="1" ht="18.75">
      <c r="A62" s="263">
        <f>+A48</f>
      </c>
      <c r="B62" s="55"/>
      <c r="C62" s="290"/>
      <c r="D62" s="201">
        <f>+D19*D34/12*D48*$D$7</f>
      </c>
      <c r="E62" s="201">
        <f>+E19*E34/12*E48*$E$7</f>
      </c>
      <c r="F62" s="201">
        <f>+F19*F34/12*F48*$F$7</f>
      </c>
      <c r="G62" s="201">
        <f>+G19*G34/12*G48*$G$7</f>
      </c>
      <c r="H62" s="201">
        <f>+H19*H34/12*H48*$H$7</f>
      </c>
      <c r="I62" s="201">
        <f>+I19*I34/12*I48*$I$7</f>
      </c>
    </row>
    <row x14ac:dyDescent="0.25" r="63" customHeight="1" ht="18.75">
      <c r="A63" s="263">
        <f>+A49</f>
      </c>
      <c r="B63" s="55"/>
      <c r="C63" s="290"/>
      <c r="D63" s="201">
        <f>+D20*D35/12*D49*$D$7</f>
      </c>
      <c r="E63" s="201">
        <f>+E20*E35/12*E49*$E$7</f>
      </c>
      <c r="F63" s="201">
        <f>+F20*F35/12*F49*$F$7</f>
      </c>
      <c r="G63" s="201">
        <f>+G20*G35/12*G49*$G$7</f>
      </c>
      <c r="H63" s="201">
        <f>+H20*H35/12*H49*$H$7</f>
      </c>
      <c r="I63" s="201">
        <f>+I20*I35/12*I49*$I$7</f>
      </c>
    </row>
    <row x14ac:dyDescent="0.25" r="64" customHeight="1" ht="18.75">
      <c r="A64" s="201">
        <f>+A50</f>
      </c>
      <c r="B64" s="377"/>
      <c r="C64" s="314"/>
      <c r="D64" s="201">
        <f>+D21*D36/12*D50*$D$7</f>
      </c>
      <c r="E64" s="201">
        <f>+E21*E36/12*E50*$E$7</f>
      </c>
      <c r="F64" s="201">
        <f>+F21*F36/12*F50*$F$7</f>
      </c>
      <c r="G64" s="201">
        <f>+G21*G36/12*G50*$G$7</f>
      </c>
      <c r="H64" s="201">
        <f>+H21*H36/12*H50*$H$7</f>
      </c>
      <c r="I64" s="201">
        <f>+I21*I36/12*I50*$I$7</f>
      </c>
    </row>
    <row x14ac:dyDescent="0.25" r="65" customHeight="1" ht="18.75">
      <c r="A65" s="201">
        <f>+A51</f>
      </c>
      <c r="B65" s="377"/>
      <c r="C65" s="314"/>
      <c r="D65" s="201">
        <f>+D22*D37/12*D51*$D$7</f>
      </c>
      <c r="E65" s="201">
        <f>+E22*E37/12*E51*$E$7</f>
      </c>
      <c r="F65" s="201">
        <f>+F22*F37/12*F51*$F$7</f>
      </c>
      <c r="G65" s="201">
        <f>+G22*G37/12*G51*$G$7</f>
      </c>
      <c r="H65" s="201">
        <f>+H22*H37/12*H51*$H$7</f>
      </c>
      <c r="I65" s="201">
        <f>+I22*I37/12*I51*$I$7</f>
      </c>
    </row>
    <row x14ac:dyDescent="0.25" r="66" customHeight="1" ht="18.75">
      <c r="A66" s="271" t="s">
        <v>24</v>
      </c>
      <c r="B66" s="219"/>
      <c r="C66" s="366"/>
      <c r="D66" s="220">
        <f>+SUM(D55:D65)</f>
      </c>
      <c r="E66" s="220">
        <f>+SUM(E55:E65)</f>
      </c>
      <c r="F66" s="220">
        <f>+SUM(F55:F65)</f>
      </c>
      <c r="G66" s="220">
        <f>+SUM(G55:G65)</f>
      </c>
      <c r="H66" s="220">
        <f>+SUM(H55:H65)</f>
      </c>
      <c r="I66" s="220">
        <f>+SUM(I55:I65)</f>
      </c>
    </row>
    <row x14ac:dyDescent="0.25" r="67" customHeight="1" ht="18.75">
      <c r="A67" s="38"/>
      <c r="B67" s="30"/>
      <c r="C67" s="378"/>
      <c r="D67" s="30"/>
      <c r="E67" s="30"/>
      <c r="F67" s="30"/>
      <c r="G67" s="30"/>
      <c r="H67" s="30"/>
      <c r="I67" s="30"/>
    </row>
    <row x14ac:dyDescent="0.25" r="68" customHeight="1" ht="18.75">
      <c r="A68" s="38"/>
      <c r="B68" s="12"/>
      <c r="C68" s="35"/>
      <c r="D68" s="30"/>
      <c r="E68" s="30"/>
      <c r="F68" s="30"/>
      <c r="G68" s="30"/>
      <c r="H68" s="30"/>
      <c r="I68" s="30"/>
    </row>
    <row x14ac:dyDescent="0.25" r="69" customHeight="1" ht="18.75">
      <c r="A69" s="357" t="s">
        <v>319</v>
      </c>
      <c r="B69" s="358"/>
      <c r="C69" s="359"/>
      <c r="D69" s="49">
        <f>+D6</f>
      </c>
      <c r="E69" s="49">
        <f>+E6</f>
      </c>
      <c r="F69" s="49">
        <f>+F6</f>
      </c>
      <c r="G69" s="49">
        <f>+G6</f>
      </c>
      <c r="H69" s="49">
        <f>+H6</f>
      </c>
      <c r="I69" s="49">
        <f>+I6</f>
      </c>
    </row>
    <row x14ac:dyDescent="0.25" r="70" customHeight="1" ht="18.75">
      <c r="A70" s="263" t="s">
        <v>320</v>
      </c>
      <c r="B70" s="123"/>
      <c r="C70" s="289"/>
      <c r="D70" s="49"/>
      <c r="E70" s="49"/>
      <c r="F70" s="49"/>
      <c r="G70" s="49"/>
      <c r="H70" s="49"/>
      <c r="I70" s="49"/>
    </row>
    <row x14ac:dyDescent="0.25" r="71" customHeight="1" ht="18.75">
      <c r="A71" s="263" t="s">
        <v>321</v>
      </c>
      <c r="B71" s="123"/>
      <c r="C71" s="379">
        <f>+Pressupostos!B24</f>
      </c>
      <c r="D71" s="201">
        <f>$C$71*(D55+D77)</f>
      </c>
      <c r="E71" s="201">
        <f>$C$71*(E55+E77)</f>
      </c>
      <c r="F71" s="201">
        <f>$C$71*(F55+F77)</f>
      </c>
      <c r="G71" s="201">
        <f>$C$71*(G55+G77)</f>
      </c>
      <c r="H71" s="201">
        <f>$C$71*(H55+H77)</f>
      </c>
      <c r="I71" s="201">
        <f>$C$71*(I55+I77)</f>
      </c>
    </row>
    <row x14ac:dyDescent="0.25" r="72" customHeight="1" ht="18.75">
      <c r="A72" s="263" t="s">
        <v>322</v>
      </c>
      <c r="B72" s="123"/>
      <c r="C72" s="379">
        <f>+Pressupostos!B25</f>
      </c>
      <c r="D72" s="201">
        <f>+$C$72*(SUM(D56:D65)+D78)</f>
      </c>
      <c r="E72" s="201">
        <f>+$C$72*(SUM(E56:E65)+E78)</f>
      </c>
      <c r="F72" s="201">
        <f>+$C$72*(SUM(F56:F65)+F78)</f>
      </c>
      <c r="G72" s="201">
        <f>+$C$72*(SUM(G56:G65)+G78)</f>
      </c>
      <c r="H72" s="201">
        <f>+$C$72*(SUM(H56:H65)+H78)</f>
      </c>
      <c r="I72" s="201">
        <f>+$C$72*(SUM(I56:I65)+I78)</f>
      </c>
    </row>
    <row x14ac:dyDescent="0.25" r="73" customHeight="1" ht="18.75">
      <c r="A73" s="263" t="s">
        <v>323</v>
      </c>
      <c r="B73" s="201"/>
      <c r="C73" s="265">
        <v>0.01</v>
      </c>
      <c r="D73" s="201">
        <f>+$C$73*D66</f>
      </c>
      <c r="E73" s="201">
        <f>+$C$73*E66</f>
      </c>
      <c r="F73" s="201">
        <f>+$C$73*F66</f>
      </c>
      <c r="G73" s="201">
        <f>+$C$73*G66</f>
      </c>
      <c r="H73" s="201">
        <f>+$C$73*H66</f>
      </c>
      <c r="I73" s="201">
        <f>+$C$73*I66</f>
      </c>
    </row>
    <row x14ac:dyDescent="0.25" r="74" customHeight="1" ht="18.75">
      <c r="A74" s="263" t="s">
        <v>324</v>
      </c>
      <c r="B74" s="201"/>
      <c r="C74" s="380">
        <f>4.77*22</f>
      </c>
      <c r="D74" s="201">
        <f>+$C$74*D75*D23</f>
      </c>
      <c r="E74" s="201">
        <f>+$C$74*E75*E23</f>
      </c>
      <c r="F74" s="201">
        <f>+$C$74*F75*F23</f>
      </c>
      <c r="G74" s="201">
        <f>+$C$74*G75*G23</f>
      </c>
      <c r="H74" s="201">
        <f>+$C$74*H75*H23</f>
      </c>
      <c r="I74" s="201">
        <f>+$C$74*I75*I23</f>
      </c>
    </row>
    <row x14ac:dyDescent="0.25" r="75" customHeight="1" ht="18.75">
      <c r="A75" s="263" t="s">
        <v>325</v>
      </c>
      <c r="B75" s="201"/>
      <c r="C75" s="289"/>
      <c r="D75" s="381">
        <f>IF(D9&lt;12,D9/12*11,11)</f>
      </c>
      <c r="E75" s="381">
        <f>IF(E9&lt;12,E9/12*11,11)</f>
      </c>
      <c r="F75" s="381">
        <f>IF(F9&lt;12,F9/12*11,11)</f>
      </c>
      <c r="G75" s="381">
        <f>IF(G9&lt;12,G9/12*11,11)</f>
      </c>
      <c r="H75" s="381">
        <f>IF(H9&lt;12,H9/12*11,11)</f>
      </c>
      <c r="I75" s="381">
        <f>IF(I9&lt;12,I9/12*11,11)</f>
      </c>
    </row>
    <row x14ac:dyDescent="0.25" r="76" customHeight="1" ht="18.75">
      <c r="A76" s="263" t="s">
        <v>326</v>
      </c>
      <c r="B76" s="201"/>
      <c r="C76" s="289"/>
      <c r="D76" s="201"/>
      <c r="E76" s="201"/>
      <c r="F76" s="201"/>
      <c r="G76" s="201"/>
      <c r="H76" s="201"/>
      <c r="I76" s="201"/>
    </row>
    <row x14ac:dyDescent="0.25" r="77" customHeight="1" ht="18.75">
      <c r="A77" s="263" t="s">
        <v>327</v>
      </c>
      <c r="B77" s="123"/>
      <c r="C77" s="382"/>
      <c r="D77" s="29"/>
      <c r="E77" s="29"/>
      <c r="F77" s="29"/>
      <c r="G77" s="29"/>
      <c r="H77" s="29"/>
      <c r="I77" s="29"/>
    </row>
    <row x14ac:dyDescent="0.25" r="78" customHeight="1" ht="18.75">
      <c r="A78" s="263" t="s">
        <v>322</v>
      </c>
      <c r="B78" s="123"/>
      <c r="C78" s="382"/>
      <c r="D78" s="29"/>
      <c r="E78" s="29"/>
      <c r="F78" s="29"/>
      <c r="G78" s="29"/>
      <c r="H78" s="29"/>
      <c r="I78" s="29"/>
    </row>
    <row x14ac:dyDescent="0.25" r="79" customHeight="1" ht="18.75">
      <c r="A79" s="278" t="s">
        <v>328</v>
      </c>
      <c r="B79" s="68"/>
      <c r="C79" s="383"/>
      <c r="D79" s="29"/>
      <c r="E79" s="29"/>
      <c r="F79" s="29"/>
      <c r="G79" s="29"/>
      <c r="H79" s="29"/>
      <c r="I79" s="29"/>
    </row>
    <row x14ac:dyDescent="0.25" r="80" customHeight="1" ht="18.75">
      <c r="A80" s="269" t="s">
        <v>329</v>
      </c>
      <c r="B80" s="249"/>
      <c r="C80" s="384"/>
      <c r="D80" s="270"/>
      <c r="E80" s="270"/>
      <c r="F80" s="270"/>
      <c r="G80" s="270"/>
      <c r="H80" s="270"/>
      <c r="I80" s="270"/>
    </row>
    <row x14ac:dyDescent="0.25" r="81" customHeight="1" ht="14.25">
      <c r="A81" s="271" t="s">
        <v>330</v>
      </c>
      <c r="B81" s="271"/>
      <c r="C81" s="271"/>
      <c r="D81" s="220">
        <f>+D71+D72+D73+D74+D77+D78+D79+D80</f>
      </c>
      <c r="E81" s="220">
        <f>+E71+E72+E73+E74+E77+E78+E79+E80</f>
      </c>
      <c r="F81" s="220">
        <f>+F71+F72+F73+F74+F77+F78+F79+F80</f>
      </c>
      <c r="G81" s="220">
        <f>+G71+G72+G73+G74+G77+G78+G79+G80</f>
      </c>
      <c r="H81" s="220">
        <f>+H71+H72+H73+H74+H77+H78+H79+H80</f>
      </c>
      <c r="I81" s="220">
        <f>+I71+I72+I73+I74+I77+I78+I79+I80</f>
      </c>
    </row>
    <row x14ac:dyDescent="0.25" r="82" customHeight="1" ht="18.75">
      <c r="A82" s="30"/>
      <c r="B82" s="30"/>
      <c r="C82" s="30"/>
      <c r="D82" s="38"/>
      <c r="E82" s="38"/>
      <c r="F82" s="38"/>
      <c r="G82" s="38"/>
      <c r="H82" s="38"/>
      <c r="I82" s="38"/>
    </row>
    <row x14ac:dyDescent="0.25" r="83" customHeight="1" ht="18.75">
      <c r="A83" s="271" t="s">
        <v>331</v>
      </c>
      <c r="B83" s="271"/>
      <c r="C83" s="271"/>
      <c r="D83" s="220">
        <f>D66+D81</f>
      </c>
      <c r="E83" s="220">
        <f>E66+E81</f>
      </c>
      <c r="F83" s="220">
        <f>F66+F81</f>
      </c>
      <c r="G83" s="220">
        <f>G66+G81</f>
      </c>
      <c r="H83" s="220">
        <f>H66+H81</f>
      </c>
      <c r="I83" s="220">
        <f>I66+I81</f>
      </c>
    </row>
    <row x14ac:dyDescent="0.25" r="84" customHeight="1" ht="18.75">
      <c r="A84" s="30"/>
      <c r="B84" s="30"/>
      <c r="C84" s="30"/>
      <c r="D84" s="38"/>
      <c r="E84" s="38"/>
      <c r="F84" s="38"/>
      <c r="G84" s="38"/>
      <c r="H84" s="38"/>
      <c r="I84" s="38"/>
    </row>
    <row x14ac:dyDescent="0.25" r="85" customHeight="1" ht="18.75">
      <c r="A85" s="30"/>
      <c r="B85" s="30"/>
      <c r="C85" s="30"/>
      <c r="D85" s="38"/>
      <c r="E85" s="38"/>
      <c r="F85" s="38"/>
      <c r="G85" s="38"/>
      <c r="H85" s="38"/>
      <c r="I85" s="38"/>
    </row>
    <row x14ac:dyDescent="0.25" r="86" customHeight="1" ht="18.75">
      <c r="A86" s="152" t="s">
        <v>332</v>
      </c>
      <c r="B86" s="215"/>
      <c r="C86" s="385"/>
      <c r="D86" s="49">
        <f>+D6</f>
      </c>
      <c r="E86" s="49">
        <f>+E6</f>
      </c>
      <c r="F86" s="49">
        <f>+F6</f>
      </c>
      <c r="G86" s="49">
        <f>+G6</f>
      </c>
      <c r="H86" s="49">
        <f>+H6</f>
      </c>
      <c r="I86" s="49">
        <f>+I6</f>
      </c>
    </row>
    <row x14ac:dyDescent="0.25" r="87" customHeight="1" ht="18.75">
      <c r="A87" s="263" t="s">
        <v>333</v>
      </c>
      <c r="B87" s="123"/>
      <c r="C87" s="384"/>
      <c r="D87" s="263"/>
      <c r="E87" s="263"/>
      <c r="F87" s="263"/>
      <c r="G87" s="263"/>
      <c r="H87" s="263"/>
      <c r="I87" s="263"/>
    </row>
    <row x14ac:dyDescent="0.25" r="88" customHeight="1" ht="18.75">
      <c r="A88" s="263" t="s">
        <v>321</v>
      </c>
      <c r="B88" s="123"/>
      <c r="C88" s="384"/>
      <c r="D88" s="201">
        <f>D55+D77</f>
      </c>
      <c r="E88" s="201">
        <f>E55+E77</f>
      </c>
      <c r="F88" s="201">
        <f>F55+F77</f>
      </c>
      <c r="G88" s="201">
        <f>G55+G77</f>
      </c>
      <c r="H88" s="201">
        <f>H55+H77</f>
      </c>
      <c r="I88" s="201">
        <f>I55+I77</f>
      </c>
    </row>
    <row x14ac:dyDescent="0.25" r="89" customHeight="1" ht="18.75">
      <c r="A89" s="263" t="s">
        <v>322</v>
      </c>
      <c r="B89" s="123"/>
      <c r="C89" s="384"/>
      <c r="D89" s="201">
        <f>+SUM(D56:D65)+D78</f>
      </c>
      <c r="E89" s="201">
        <f>+SUM(E56:E65)+E78</f>
      </c>
      <c r="F89" s="201">
        <f>+SUM(F56:F65)+F78</f>
      </c>
      <c r="G89" s="201">
        <f>+SUM(G56:G65)+G78</f>
      </c>
      <c r="H89" s="201">
        <f>+SUM(H56:H65)+H78</f>
      </c>
      <c r="I89" s="201">
        <f>+SUM(I56:I65)+I78</f>
      </c>
    </row>
    <row x14ac:dyDescent="0.25" r="90" customHeight="1" ht="18.75">
      <c r="A90" s="263" t="s">
        <v>334</v>
      </c>
      <c r="B90" s="123"/>
      <c r="C90" s="384"/>
      <c r="D90" s="201">
        <f>+D71+D72</f>
      </c>
      <c r="E90" s="201">
        <f>+E71+E72</f>
      </c>
      <c r="F90" s="201">
        <f>+F71+F72</f>
      </c>
      <c r="G90" s="201">
        <f>+G71+G72</f>
      </c>
      <c r="H90" s="201">
        <f>+H71+H72</f>
      </c>
      <c r="I90" s="201">
        <f>+I71+I72</f>
      </c>
    </row>
    <row x14ac:dyDescent="0.25" r="91" customHeight="1" ht="18.75">
      <c r="A91" s="263" t="s">
        <v>335</v>
      </c>
      <c r="B91" s="123"/>
      <c r="C91" s="384"/>
      <c r="D91" s="201">
        <f>+D73</f>
      </c>
      <c r="E91" s="201">
        <f>+E73</f>
      </c>
      <c r="F91" s="201">
        <f>+F73</f>
      </c>
      <c r="G91" s="201">
        <f>+G73</f>
      </c>
      <c r="H91" s="201">
        <f>+H73</f>
      </c>
      <c r="I91" s="201">
        <f>+I73</f>
      </c>
    </row>
    <row x14ac:dyDescent="0.25" r="92" customHeight="1" ht="18.75">
      <c r="A92" s="263" t="s">
        <v>336</v>
      </c>
      <c r="B92" s="123"/>
      <c r="C92" s="384"/>
      <c r="D92" s="201">
        <f>+D74</f>
      </c>
      <c r="E92" s="201">
        <f>+E74</f>
      </c>
      <c r="F92" s="201">
        <f>+F74</f>
      </c>
      <c r="G92" s="201">
        <f>+G74</f>
      </c>
      <c r="H92" s="201">
        <f>+H74</f>
      </c>
      <c r="I92" s="201">
        <f>+I74</f>
      </c>
    </row>
    <row x14ac:dyDescent="0.25" r="93" customHeight="1" ht="18.75">
      <c r="A93" s="269" t="s">
        <v>337</v>
      </c>
      <c r="B93" s="249"/>
      <c r="C93" s="386"/>
      <c r="D93" s="276">
        <f>+D79+D80</f>
      </c>
      <c r="E93" s="276">
        <f>+E79+E80</f>
      </c>
      <c r="F93" s="276">
        <f>+F79+F80</f>
      </c>
      <c r="G93" s="276">
        <f>+G79+G80</f>
      </c>
      <c r="H93" s="276">
        <f>+H79+H80</f>
      </c>
      <c r="I93" s="276">
        <f>+I79+I80</f>
      </c>
    </row>
    <row x14ac:dyDescent="0.25" r="94" customHeight="1" ht="18.75">
      <c r="A94" s="271" t="s">
        <v>331</v>
      </c>
      <c r="B94" s="271"/>
      <c r="C94" s="271"/>
      <c r="D94" s="220">
        <f>SUM(D88:D93)</f>
      </c>
      <c r="E94" s="220">
        <f>SUM(E88:E93)</f>
      </c>
      <c r="F94" s="220">
        <f>SUM(F88:F93)</f>
      </c>
      <c r="G94" s="220">
        <f>SUM(G88:G93)</f>
      </c>
      <c r="H94" s="220">
        <f>SUM(H88:H93)</f>
      </c>
      <c r="I94" s="220">
        <f>SUM(I88:I93)</f>
      </c>
    </row>
    <row x14ac:dyDescent="0.25" r="95" customHeight="1" ht="18.75">
      <c r="A95" s="62"/>
      <c r="B95" s="62"/>
      <c r="C95" s="62"/>
      <c r="D95" s="30"/>
      <c r="E95" s="30"/>
      <c r="F95" s="30"/>
      <c r="G95" s="30"/>
      <c r="H95" s="30"/>
      <c r="I95" s="30"/>
    </row>
    <row x14ac:dyDescent="0.25" r="96" customHeight="1" ht="18.75">
      <c r="A96" s="30"/>
      <c r="B96" s="30"/>
      <c r="C96" s="44"/>
      <c r="D96" s="38"/>
      <c r="E96" s="38"/>
      <c r="F96" s="38"/>
      <c r="G96" s="38"/>
      <c r="H96" s="38"/>
      <c r="I96" s="38"/>
    </row>
    <row x14ac:dyDescent="0.25" r="97" customHeight="1" ht="18.75">
      <c r="A97" s="357" t="s">
        <v>338</v>
      </c>
      <c r="B97" s="358"/>
      <c r="C97" s="359"/>
      <c r="D97" s="49">
        <f>+D86</f>
      </c>
      <c r="E97" s="49">
        <f>+E86</f>
      </c>
      <c r="F97" s="49">
        <f>+F86</f>
      </c>
      <c r="G97" s="49">
        <f>+G86</f>
      </c>
      <c r="H97" s="49">
        <f>+H86</f>
      </c>
      <c r="I97" s="49">
        <f>+I86</f>
      </c>
    </row>
    <row x14ac:dyDescent="0.25" r="98" customHeight="1" ht="18.75">
      <c r="A98" s="263" t="s">
        <v>339</v>
      </c>
      <c r="B98" s="123"/>
      <c r="C98" s="379"/>
      <c r="D98" s="201"/>
      <c r="E98" s="201"/>
      <c r="F98" s="201"/>
      <c r="G98" s="201"/>
      <c r="H98" s="201"/>
      <c r="I98" s="201"/>
    </row>
    <row x14ac:dyDescent="0.25" r="99" customHeight="1" ht="18.75">
      <c r="A99" s="263" t="s">
        <v>340</v>
      </c>
      <c r="B99" s="123"/>
      <c r="C99" s="379">
        <f>+Pressupostos!B26</f>
      </c>
      <c r="D99" s="201">
        <f>+$C$99*D88</f>
      </c>
      <c r="E99" s="201">
        <f>+$C$99*E88</f>
      </c>
      <c r="F99" s="201">
        <f>+$C$99*F88</f>
      </c>
      <c r="G99" s="201">
        <f>+$C$99*G88</f>
      </c>
      <c r="H99" s="201">
        <f>+$C$99*H88</f>
      </c>
      <c r="I99" s="201">
        <f>+$C$99*I88</f>
      </c>
    </row>
    <row x14ac:dyDescent="0.25" r="100" customHeight="1" ht="18.75">
      <c r="A100" s="263" t="s">
        <v>341</v>
      </c>
      <c r="B100" s="123"/>
      <c r="C100" s="379">
        <f>+Pressupostos!B27</f>
      </c>
      <c r="D100" s="201">
        <f>+$C$100*D89</f>
      </c>
      <c r="E100" s="201">
        <f>+$C$100*E89</f>
      </c>
      <c r="F100" s="201">
        <f>+$C$100*F89</f>
      </c>
      <c r="G100" s="201">
        <f>+$C$100*G89</f>
      </c>
      <c r="H100" s="201">
        <f>+$C$100*H89</f>
      </c>
      <c r="I100" s="201">
        <f>+$C$100*I89</f>
      </c>
    </row>
    <row x14ac:dyDescent="0.25" r="101" customHeight="1" ht="18.75">
      <c r="A101" s="263" t="s">
        <v>342</v>
      </c>
      <c r="B101" s="123"/>
      <c r="C101" s="379">
        <f>+Pressupostos!B28</f>
      </c>
      <c r="D101" s="201">
        <f>+$C$101*(D88+D89)</f>
      </c>
      <c r="E101" s="201">
        <f>+$C$101*(E88+E89)</f>
      </c>
      <c r="F101" s="201">
        <f>+$C$101*(F88+F89)</f>
      </c>
      <c r="G101" s="201">
        <f>+$C$101*(G88+G89)</f>
      </c>
      <c r="H101" s="201">
        <f>+$C$101*(H88+H89)</f>
      </c>
      <c r="I101" s="201">
        <f>+$C$101*(I88+I89)</f>
      </c>
    </row>
    <row x14ac:dyDescent="0.25" r="102" customHeight="1" ht="18.75">
      <c r="A102" s="271" t="s">
        <v>343</v>
      </c>
      <c r="B102" s="271"/>
      <c r="C102" s="271"/>
      <c r="D102" s="220">
        <f>SUM(D99:D101)</f>
      </c>
      <c r="E102" s="220">
        <f>SUM(E99:E101)</f>
      </c>
      <c r="F102" s="220">
        <f>SUM(F99:F101)</f>
      </c>
      <c r="G102" s="220">
        <f>SUM(G99:G101)</f>
      </c>
      <c r="H102" s="220">
        <f>SUM(H99:H101)</f>
      </c>
      <c r="I102" s="220">
        <f>SUM(I99:I101)</f>
      </c>
    </row>
    <row x14ac:dyDescent="0.25" r="103" customHeight="1" ht="18.75">
      <c r="A103" s="81"/>
      <c r="B103" s="106"/>
      <c r="C103" s="387"/>
      <c r="D103" s="218"/>
      <c r="E103" s="218"/>
      <c r="F103" s="218"/>
      <c r="G103" s="218"/>
      <c r="H103" s="218"/>
      <c r="I103" s="218"/>
    </row>
    <row x14ac:dyDescent="0.25" r="104" customHeight="1" ht="18.75">
      <c r="A104" s="81"/>
      <c r="B104" s="106"/>
      <c r="C104" s="387"/>
      <c r="D104" s="81"/>
      <c r="E104" s="81"/>
      <c r="F104" s="81"/>
      <c r="G104" s="81"/>
      <c r="H104" s="81"/>
      <c r="I104" s="81"/>
    </row>
    <row x14ac:dyDescent="0.25" r="105" customHeight="1" ht="18.75">
      <c r="A105" s="81"/>
      <c r="B105" s="106"/>
      <c r="C105" s="387"/>
      <c r="D105" s="218"/>
      <c r="E105" s="218"/>
      <c r="F105" s="218"/>
      <c r="G105" s="218"/>
      <c r="H105" s="218"/>
      <c r="I105" s="218"/>
    </row>
  </sheetData>
  <mergeCells count="14">
    <mergeCell ref="A4:I4"/>
    <mergeCell ref="A11:C11"/>
    <mergeCell ref="A23:C23"/>
    <mergeCell ref="A26:C26"/>
    <mergeCell ref="A40:C40"/>
    <mergeCell ref="A54:C54"/>
    <mergeCell ref="A66:C66"/>
    <mergeCell ref="A69:C69"/>
    <mergeCell ref="A81:C81"/>
    <mergeCell ref="A83:C83"/>
    <mergeCell ref="A86:C86"/>
    <mergeCell ref="A94:C94"/>
    <mergeCell ref="A97:C97"/>
    <mergeCell ref="A102:C1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7"/>
  <sheetViews>
    <sheetView workbookViewId="0"/>
  </sheetViews>
  <sheetFormatPr defaultRowHeight="15" x14ac:dyDescent="0.25"/>
  <cols>
    <col min="1" max="1" style="9" width="30.862142857142857" customWidth="1" bestFit="1"/>
    <col min="2" max="2" style="9" width="7.576428571428571" customWidth="1" bestFit="1"/>
    <col min="3" max="3" style="348" width="13.576428571428572" customWidth="1" bestFit="1"/>
    <col min="4" max="4" style="348" width="13.576428571428572" customWidth="1" bestFit="1"/>
    <col min="5" max="5" style="348" width="13.576428571428572" customWidth="1" bestFit="1"/>
    <col min="6" max="6" style="348" width="13.576428571428572" customWidth="1" bestFit="1"/>
    <col min="7" max="7" style="348" width="13.576428571428572" customWidth="1" bestFit="1"/>
    <col min="8" max="8" style="348" width="13.576428571428572" customWidth="1" bestFit="1"/>
  </cols>
  <sheetData>
    <row x14ac:dyDescent="0.25" r="1" customHeight="1" ht="18.75">
      <c r="A1" s="12"/>
      <c r="B1" s="12"/>
      <c r="C1" s="252"/>
      <c r="D1" s="252"/>
      <c r="E1" s="252"/>
      <c r="F1" s="252"/>
      <c r="G1" s="333" t="s">
        <v>12</v>
      </c>
      <c r="H1" s="334">
        <f>+Pressupostos!E1</f>
      </c>
    </row>
    <row x14ac:dyDescent="0.25" r="2" customHeight="1" ht="18.75">
      <c r="A2" s="12"/>
      <c r="B2" s="12"/>
      <c r="C2" s="89"/>
      <c r="D2" s="89"/>
      <c r="E2" s="89"/>
      <c r="F2" s="89"/>
      <c r="G2" s="89"/>
      <c r="H2" s="52">
        <f>+Pressupostos!B9</f>
      </c>
    </row>
    <row x14ac:dyDescent="0.25" r="3" customHeight="1" ht="18.75">
      <c r="A3" s="12"/>
      <c r="B3" s="12"/>
      <c r="C3" s="89"/>
      <c r="D3" s="89"/>
      <c r="E3" s="89"/>
      <c r="F3" s="89"/>
      <c r="G3" s="89"/>
      <c r="H3" s="52"/>
    </row>
    <row x14ac:dyDescent="0.25" r="4" customHeight="1" ht="13.5">
      <c r="A4" s="20" t="s">
        <v>291</v>
      </c>
      <c r="B4" s="20"/>
      <c r="C4" s="254"/>
      <c r="D4" s="254"/>
      <c r="E4" s="254"/>
      <c r="F4" s="254"/>
      <c r="G4" s="254"/>
      <c r="H4" s="254"/>
    </row>
    <row x14ac:dyDescent="0.25" r="5" customHeight="1" ht="12.75">
      <c r="A5" s="12"/>
      <c r="B5" s="12"/>
      <c r="C5" s="89"/>
      <c r="D5" s="89"/>
      <c r="E5" s="89"/>
      <c r="F5" s="89"/>
      <c r="G5" s="89"/>
      <c r="H5" s="89"/>
    </row>
    <row x14ac:dyDescent="0.25" r="6" customHeight="1" ht="18.75">
      <c r="A6" s="12"/>
      <c r="B6" s="30"/>
      <c r="C6" s="89"/>
      <c r="D6" s="89"/>
      <c r="E6" s="89"/>
      <c r="F6" s="89"/>
      <c r="G6" s="89"/>
      <c r="H6" s="89"/>
    </row>
    <row x14ac:dyDescent="0.25" r="7" customHeight="1" ht="18.75">
      <c r="A7" s="123"/>
      <c r="B7" s="201"/>
      <c r="C7" s="49">
        <f>+VN!C8</f>
      </c>
      <c r="D7" s="49">
        <f>+VN!D8</f>
      </c>
      <c r="E7" s="49">
        <f>+VN!E8</f>
      </c>
      <c r="F7" s="49">
        <f>+VN!F8</f>
      </c>
      <c r="G7" s="49">
        <f>+VN!G8</f>
      </c>
      <c r="H7" s="49">
        <f>+VN!H8</f>
      </c>
    </row>
    <row x14ac:dyDescent="0.25" r="8" customHeight="1" ht="18.75">
      <c r="A8" s="55" t="s">
        <v>292</v>
      </c>
      <c r="B8" s="201"/>
      <c r="C8" s="335"/>
      <c r="D8" s="336"/>
      <c r="E8" s="336"/>
      <c r="F8" s="336"/>
      <c r="G8" s="336"/>
      <c r="H8" s="336"/>
    </row>
    <row x14ac:dyDescent="0.25" r="9" customHeight="1" ht="18.75">
      <c r="A9" s="123" t="s">
        <v>293</v>
      </c>
      <c r="B9" s="201"/>
      <c r="C9" s="337"/>
      <c r="D9" s="201">
        <f>+C9</f>
      </c>
      <c r="E9" s="201">
        <f>+D9</f>
      </c>
      <c r="F9" s="201">
        <f>+E9</f>
      </c>
      <c r="G9" s="201">
        <f>+F9</f>
      </c>
      <c r="H9" s="201">
        <f>+G9</f>
      </c>
    </row>
    <row x14ac:dyDescent="0.25" r="10" customHeight="1" ht="18.75">
      <c r="A10" s="123" t="s">
        <v>127</v>
      </c>
      <c r="B10" s="201"/>
      <c r="C10" s="201">
        <f>VN!C84*Pressupostos!$C$13/12</f>
      </c>
      <c r="D10" s="201">
        <f>VN!D84*Pressupostos!$C$13/12</f>
      </c>
      <c r="E10" s="201">
        <f>VN!E84*Pressupostos!$C$13/12</f>
      </c>
      <c r="F10" s="201">
        <f>VN!F84*Pressupostos!$C$13/12</f>
      </c>
      <c r="G10" s="201">
        <f>VN!G84*Pressupostos!$C$13/12</f>
      </c>
      <c r="H10" s="201">
        <f>VN!H84*Pressupostos!$C$13/12</f>
      </c>
    </row>
    <row x14ac:dyDescent="0.25" r="11" customHeight="1" ht="18.75">
      <c r="A11" s="123" t="s">
        <v>126</v>
      </c>
      <c r="B11" s="201"/>
      <c r="C11" s="201">
        <f>CMVMC!C16*Pressupostos!$C$15/12</f>
      </c>
      <c r="D11" s="201">
        <f>CMVMC!D16*Pressupostos!$C$15/12</f>
      </c>
      <c r="E11" s="201">
        <f>CMVMC!E16*Pressupostos!$C$15/12</f>
      </c>
      <c r="F11" s="201">
        <f>CMVMC!F16*Pressupostos!$C$15/12</f>
      </c>
      <c r="G11" s="201">
        <f>CMVMC!G16*Pressupostos!$C$15/12</f>
      </c>
      <c r="H11" s="201">
        <f>CMVMC!H16*Pressupostos!$C$15/12</f>
      </c>
    </row>
    <row x14ac:dyDescent="0.25" r="12" customHeight="1" ht="18.75">
      <c r="A12" s="123" t="s">
        <v>294</v>
      </c>
      <c r="B12" s="201"/>
      <c r="C12" s="201">
        <f>IF(C30&lt;0,-C30,0)+IF(C31&lt;0,-C31,0)+IF(C32&lt;0,-C32,0)</f>
      </c>
      <c r="D12" s="201">
        <f>IF(D30&lt;0,-D30,0)+IF(D31&lt;0,-D31,0)+IF(D32&lt;0,-D32,0)</f>
      </c>
      <c r="E12" s="201">
        <f>IF(E30&lt;0,-E30,0)+IF(E31&lt;0,-E31,0)+IF(E32&lt;0,-E32,0)</f>
      </c>
      <c r="F12" s="201">
        <f>IF(F30&lt;0,-F30,0)+IF(F31&lt;0,-F31,0)+IF(F32&lt;0,-F32,0)</f>
      </c>
      <c r="G12" s="201">
        <f>IF(G30&lt;0,-G30,0)+IF(G31&lt;0,-G31,0)+IF(G32&lt;0,-G32,0)</f>
      </c>
      <c r="H12" s="201">
        <f>IF(H30&lt;0,-H30,0)+IF(H31&lt;0,-H31,0)+IF(H32&lt;0,-H32,0)</f>
      </c>
    </row>
    <row x14ac:dyDescent="0.25" r="13" customHeight="1" ht="18.75">
      <c r="A13" s="28" t="s">
        <v>295</v>
      </c>
      <c r="B13" s="28"/>
      <c r="C13" s="29"/>
      <c r="D13" s="29"/>
      <c r="E13" s="29"/>
      <c r="F13" s="29"/>
      <c r="G13" s="29"/>
      <c r="H13" s="29"/>
    </row>
    <row x14ac:dyDescent="0.25" r="14" customHeight="1" ht="18.75">
      <c r="A14" s="28" t="s">
        <v>295</v>
      </c>
      <c r="B14" s="28"/>
      <c r="C14" s="29"/>
      <c r="D14" s="29"/>
      <c r="E14" s="29"/>
      <c r="F14" s="29"/>
      <c r="G14" s="29"/>
      <c r="H14" s="29"/>
    </row>
    <row x14ac:dyDescent="0.25" r="15" customHeight="1" ht="18.75">
      <c r="A15" s="155" t="s">
        <v>24</v>
      </c>
      <c r="B15" s="215"/>
      <c r="C15" s="56">
        <f>SUM(C9:C14)</f>
      </c>
      <c r="D15" s="56">
        <f>SUM(D9:D14)</f>
      </c>
      <c r="E15" s="56">
        <f>SUM(E9:E14)</f>
      </c>
      <c r="F15" s="56">
        <f>SUM(F9:F14)</f>
      </c>
      <c r="G15" s="56">
        <f>SUM(G9:G14)</f>
      </c>
      <c r="H15" s="56">
        <f>SUM(H9:H14)</f>
      </c>
    </row>
    <row x14ac:dyDescent="0.25" r="16" customHeight="1" ht="18.75">
      <c r="A16" s="55" t="s">
        <v>296</v>
      </c>
      <c r="B16" s="201"/>
      <c r="C16" s="338"/>
      <c r="D16" s="201"/>
      <c r="E16" s="201"/>
      <c r="F16" s="201"/>
      <c r="G16" s="201"/>
      <c r="H16" s="201"/>
    </row>
    <row x14ac:dyDescent="0.25" r="17" customHeight="1" ht="18.75">
      <c r="A17" s="123" t="s">
        <v>149</v>
      </c>
      <c r="B17" s="201"/>
      <c r="C17" s="201">
        <f>(CMVMC!C20+FSE!F53)*Pressupostos!$C$14/12</f>
      </c>
      <c r="D17" s="201">
        <f>(CMVMC!D20+FSE!G53)*Pressupostos!$C$14/12</f>
      </c>
      <c r="E17" s="201">
        <f>(CMVMC!E20+FSE!H53)*Pressupostos!$C$14/12</f>
      </c>
      <c r="F17" s="201">
        <f>(CMVMC!F20+FSE!I53)*Pressupostos!$C$14/12</f>
      </c>
      <c r="G17" s="201">
        <f>(CMVMC!G20+FSE!J53)*Pressupostos!$C$14/12</f>
      </c>
      <c r="H17" s="201">
        <f>(CMVMC!H20+FSE!K53)*Pressupostos!$C$14/12</f>
      </c>
    </row>
    <row x14ac:dyDescent="0.25" r="18" customHeight="1" ht="18.75">
      <c r="A18" s="123" t="s">
        <v>294</v>
      </c>
      <c r="B18" s="201"/>
      <c r="C18" s="201">
        <f>IF(C30&gt;0,C30,0)+IF(C31&gt;0,C31,0)+IF(C32&gt;0,C32,0)</f>
      </c>
      <c r="D18" s="201">
        <f>IF(D30&gt;0,D30,0)+IF(D31&gt;0,D31,0)+IF(D32&gt;0,D32,0)</f>
      </c>
      <c r="E18" s="201">
        <f>IF(E30&gt;0,E30,0)+IF(E31&gt;0,E31,0)+IF(E32&gt;0,E32,0)</f>
      </c>
      <c r="F18" s="201">
        <f>IF(F30&gt;0,F30,0)+IF(F31&gt;0,F31,0)+IF(F32&gt;0,F32,0)</f>
      </c>
      <c r="G18" s="201">
        <f>IF(G30&gt;0,G30,0)+IF(G31&gt;0,G31,0)+IF(G32&gt;0,G32,0)</f>
      </c>
      <c r="H18" s="201">
        <f>IF(H30&gt;0,H30,0)+IF(H31&gt;0,H31,0)+IF(H32&gt;0,H32,0)</f>
      </c>
    </row>
    <row x14ac:dyDescent="0.25" r="19" customHeight="1" ht="18.75">
      <c r="A19" s="28" t="s">
        <v>295</v>
      </c>
      <c r="B19" s="28"/>
      <c r="C19" s="270"/>
      <c r="D19" s="270"/>
      <c r="E19" s="270"/>
      <c r="F19" s="270"/>
      <c r="G19" s="270"/>
      <c r="H19" s="270"/>
    </row>
    <row x14ac:dyDescent="0.25" r="20" customHeight="1" ht="18.75">
      <c r="A20" s="219" t="s">
        <v>24</v>
      </c>
      <c r="B20" s="219"/>
      <c r="C20" s="220">
        <f>+SUM(C17:C19)</f>
      </c>
      <c r="D20" s="220">
        <f>+SUM(D17:D19)</f>
      </c>
      <c r="E20" s="220">
        <f>+SUM(E17:E19)</f>
      </c>
      <c r="F20" s="220">
        <f>+SUM(F17:F19)</f>
      </c>
      <c r="G20" s="220">
        <f>+SUM(G17:G19)</f>
      </c>
      <c r="H20" s="220">
        <f>+SUM(H17:H19)</f>
      </c>
    </row>
    <row x14ac:dyDescent="0.25" r="21" customHeight="1" ht="18.75">
      <c r="A21" s="12"/>
      <c r="B21" s="30"/>
      <c r="C21" s="339"/>
      <c r="D21" s="340"/>
      <c r="E21" s="340"/>
      <c r="F21" s="340"/>
      <c r="G21" s="340"/>
      <c r="H21" s="340"/>
    </row>
    <row x14ac:dyDescent="0.25" r="22" customHeight="1" ht="18.75">
      <c r="A22" s="242" t="s">
        <v>297</v>
      </c>
      <c r="B22" s="267"/>
      <c r="C22" s="220">
        <f>+C15-C20</f>
      </c>
      <c r="D22" s="220">
        <f>+D15-D20</f>
      </c>
      <c r="E22" s="220">
        <f>+E15-E20</f>
      </c>
      <c r="F22" s="220">
        <f>+F15-F20</f>
      </c>
      <c r="G22" s="220">
        <f>+G15-G20</f>
      </c>
      <c r="H22" s="220">
        <f>+H15-H20</f>
      </c>
    </row>
    <row x14ac:dyDescent="0.25" r="23" customHeight="1" ht="18.75">
      <c r="A23" s="341"/>
      <c r="B23" s="342"/>
      <c r="C23" s="339"/>
      <c r="D23" s="340"/>
      <c r="E23" s="340"/>
      <c r="F23" s="340"/>
      <c r="G23" s="340"/>
      <c r="H23" s="340"/>
    </row>
    <row x14ac:dyDescent="0.25" r="24" customHeight="1" ht="18.75">
      <c r="A24" s="242" t="s">
        <v>298</v>
      </c>
      <c r="B24" s="267"/>
      <c r="C24" s="220">
        <f>+C22</f>
      </c>
      <c r="D24" s="220">
        <f>+D22-C22</f>
      </c>
      <c r="E24" s="220">
        <f>+E22-D22</f>
      </c>
      <c r="F24" s="220">
        <f>+F22-E22</f>
      </c>
      <c r="G24" s="220">
        <f>+G22-F22</f>
      </c>
      <c r="H24" s="220">
        <f>+H22-G22</f>
      </c>
    </row>
    <row x14ac:dyDescent="0.25" r="25" customHeight="1" ht="18.75">
      <c r="A25" s="12"/>
      <c r="B25" s="30"/>
      <c r="C25" s="35"/>
      <c r="D25" s="89"/>
      <c r="E25" s="89"/>
      <c r="F25" s="89"/>
      <c r="G25" s="89"/>
      <c r="H25" s="89"/>
    </row>
    <row x14ac:dyDescent="0.25" r="26" customHeight="1" ht="18.75">
      <c r="A26" s="36" t="s">
        <v>299</v>
      </c>
      <c r="B26" s="30"/>
      <c r="C26" s="35"/>
      <c r="D26" s="89"/>
      <c r="E26" s="89"/>
      <c r="F26" s="89"/>
      <c r="G26" s="89"/>
      <c r="H26" s="89"/>
    </row>
    <row x14ac:dyDescent="0.25" r="27" customHeight="1" ht="18.75">
      <c r="A27" s="12"/>
      <c r="B27" s="12"/>
      <c r="C27" s="89"/>
      <c r="D27" s="89"/>
      <c r="E27" s="30"/>
      <c r="F27" s="89"/>
      <c r="G27" s="89"/>
      <c r="H27" s="89"/>
    </row>
    <row x14ac:dyDescent="0.25" r="28" customHeight="1" ht="18.75">
      <c r="A28" s="1"/>
      <c r="B28" s="1"/>
      <c r="C28" s="218"/>
      <c r="D28" s="218"/>
      <c r="E28" s="218"/>
      <c r="F28" s="218"/>
      <c r="G28" s="218"/>
      <c r="H28" s="218"/>
    </row>
    <row x14ac:dyDescent="0.25" r="29" customHeight="1" ht="18.75">
      <c r="A29" s="343" t="s">
        <v>300</v>
      </c>
      <c r="B29" s="344"/>
      <c r="C29" s="345">
        <f>+SUM(C30:C32)</f>
      </c>
      <c r="D29" s="345">
        <f>+SUM(D30:D32)</f>
      </c>
      <c r="E29" s="345">
        <f>+SUM(E30:E32)</f>
      </c>
      <c r="F29" s="345">
        <f>+SUM(F30:F32)</f>
      </c>
      <c r="G29" s="345">
        <f>+SUM(G30:G32)</f>
      </c>
      <c r="H29" s="345">
        <f>+SUM(H30:H32)</f>
      </c>
    </row>
    <row x14ac:dyDescent="0.25" r="30" customHeight="1" ht="18.75">
      <c r="A30" s="344" t="s">
        <v>301</v>
      </c>
      <c r="B30" s="344"/>
      <c r="C30" s="346">
        <f>IF('Gastos com Pessoal'!D$7=0, 0,('Gastos com Pessoal'!D99+'Gastos com Pessoal'!D100+'Gastos com Pessoal'!D71+'Gastos com Pessoal'!D72)/'Gastos com Pessoal'!D$7)</f>
      </c>
      <c r="D30" s="346">
        <f>IF('Gastos com Pessoal'!E$7=0,0,('Gastos com Pessoal'!E99+'Gastos com Pessoal'!E100+'Gastos com Pessoal'!E71+'Gastos com Pessoal'!E72)/'Gastos com Pessoal'!E$7)</f>
      </c>
      <c r="E30" s="346">
        <f>('Gastos com Pessoal'!F99+'Gastos com Pessoal'!F100+'Gastos com Pessoal'!F71+'Gastos com Pessoal'!F72)/'Gastos com Pessoal'!F$7</f>
      </c>
      <c r="F30" s="346">
        <f>('Gastos com Pessoal'!G99+'Gastos com Pessoal'!G100+'Gastos com Pessoal'!G71+'Gastos com Pessoal'!G72)/'Gastos com Pessoal'!G$7</f>
      </c>
      <c r="G30" s="346">
        <f>('Gastos com Pessoal'!H99+'Gastos com Pessoal'!H100+'Gastos com Pessoal'!H71+'Gastos com Pessoal'!H72)/'Gastos com Pessoal'!H$7</f>
      </c>
      <c r="H30" s="346">
        <f>('Gastos com Pessoal'!I99+'Gastos com Pessoal'!I100+'Gastos com Pessoal'!I71+'Gastos com Pessoal'!I72)/'Gastos com Pessoal'!I$7</f>
      </c>
    </row>
    <row x14ac:dyDescent="0.25" r="31" customHeight="1" ht="18.75">
      <c r="A31" s="344" t="s">
        <v>302</v>
      </c>
      <c r="B31" s="344"/>
      <c r="C31" s="346">
        <f>IF('Gastos com Pessoal'!D7=0,0,'Gastos com Pessoal'!D101/'Gastos com Pessoal'!D7)</f>
      </c>
      <c r="D31" s="346">
        <f>IF('Gastos com Pessoal'!E7=0,0,'Gastos com Pessoal'!E101/'Gastos com Pessoal'!E7)</f>
      </c>
      <c r="E31" s="346">
        <f>'Gastos com Pessoal'!F101/'Gastos com Pessoal'!F7</f>
      </c>
      <c r="F31" s="346">
        <f>'Gastos com Pessoal'!G101/'Gastos com Pessoal'!G7</f>
      </c>
      <c r="G31" s="346">
        <f>'Gastos com Pessoal'!H101/'Gastos com Pessoal'!H7</f>
      </c>
      <c r="H31" s="346">
        <f>'Gastos com Pessoal'!I101/'Gastos com Pessoal'!I7</f>
      </c>
    </row>
    <row x14ac:dyDescent="0.25" r="32" customHeight="1" ht="18.75">
      <c r="A32" s="344" t="s">
        <v>259</v>
      </c>
      <c r="B32" s="344"/>
      <c r="C32" s="346">
        <f>(VN!C82-CMVMC!C18-FSE!F51-Investimento!C33)/Pressupostos!$C$16</f>
      </c>
      <c r="D32" s="346">
        <f>(VN!D82-CMVMC!D18-FSE!G51-Investimento!D33)/Pressupostos!$C$16</f>
      </c>
      <c r="E32" s="346">
        <f>(VN!E82-CMVMC!E18-FSE!H51-Investimento!E33)/Pressupostos!$C$16</f>
      </c>
      <c r="F32" s="346">
        <f>(VN!F82-CMVMC!F18-FSE!I51-Investimento!F33)/Pressupostos!$C$16</f>
      </c>
      <c r="G32" s="346">
        <f>(VN!G82-CMVMC!G18-FSE!J51-Investimento!G33)/Pressupostos!$C$16</f>
      </c>
      <c r="H32" s="346">
        <f>(VN!H82-CMVMC!H18-FSE!K51-Investimento!H33)/Pressupostos!$C$16</f>
      </c>
    </row>
    <row x14ac:dyDescent="0.25" r="33" customHeight="1" ht="18.75">
      <c r="A33" s="1"/>
      <c r="B33" s="1"/>
      <c r="C33" s="347"/>
      <c r="D33" s="347"/>
      <c r="E33" s="218"/>
      <c r="F33" s="347"/>
      <c r="G33" s="347"/>
      <c r="H33" s="347"/>
    </row>
    <row x14ac:dyDescent="0.25" r="34" customHeight="1" ht="18.75">
      <c r="A34" s="1"/>
      <c r="B34" s="1"/>
      <c r="C34" s="347"/>
      <c r="D34" s="347"/>
      <c r="E34" s="218"/>
      <c r="F34" s="347"/>
      <c r="G34" s="347"/>
      <c r="H34" s="347"/>
    </row>
    <row x14ac:dyDescent="0.25" r="35" customHeight="1" ht="18.75">
      <c r="A35" s="1"/>
      <c r="B35" s="1"/>
      <c r="C35" s="347"/>
      <c r="D35" s="347"/>
      <c r="E35" s="218"/>
      <c r="F35" s="347"/>
      <c r="G35" s="347"/>
      <c r="H35" s="347"/>
    </row>
    <row x14ac:dyDescent="0.25" r="36" customHeight="1" ht="18.75">
      <c r="A36" s="1"/>
      <c r="B36" s="1"/>
      <c r="C36" s="347"/>
      <c r="D36" s="347"/>
      <c r="E36" s="218"/>
      <c r="F36" s="347"/>
      <c r="G36" s="347"/>
      <c r="H36" s="347"/>
    </row>
    <row x14ac:dyDescent="0.25" r="37" customHeight="1" ht="18.75">
      <c r="A37" s="1"/>
      <c r="B37" s="1"/>
      <c r="C37" s="347"/>
      <c r="D37" s="347"/>
      <c r="E37" s="218"/>
      <c r="F37" s="347"/>
      <c r="G37" s="347"/>
      <c r="H37" s="347"/>
    </row>
  </sheetData>
  <mergeCells count="6">
    <mergeCell ref="A4:H4"/>
    <mergeCell ref="A13:B13"/>
    <mergeCell ref="A14:B14"/>
    <mergeCell ref="A15:B15"/>
    <mergeCell ref="A19:B19"/>
    <mergeCell ref="A20:B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82"/>
  <sheetViews>
    <sheetView workbookViewId="0"/>
  </sheetViews>
  <sheetFormatPr defaultRowHeight="15" x14ac:dyDescent="0.25"/>
  <cols>
    <col min="1" max="1" style="331" width="35.71928571428572" customWidth="1" bestFit="1"/>
    <col min="2" max="2" style="332" width="8.719285714285713" customWidth="1" bestFit="1"/>
    <col min="3" max="3" style="210" width="9.719285714285713" customWidth="1" bestFit="1"/>
    <col min="4" max="4" style="210" width="9.719285714285713" customWidth="1" bestFit="1"/>
    <col min="5" max="5" style="210" width="9.719285714285713" customWidth="1" bestFit="1"/>
    <col min="6" max="6" style="210" width="9.719285714285713" customWidth="1" bestFit="1"/>
    <col min="7" max="7" style="210" width="9.719285714285713" customWidth="1" bestFit="1"/>
    <col min="8" max="8" style="210" width="9.719285714285713" customWidth="1" bestFit="1"/>
  </cols>
  <sheetData>
    <row x14ac:dyDescent="0.25" r="1" customHeight="1" ht="18.75">
      <c r="A1" s="38"/>
      <c r="B1" s="44"/>
      <c r="C1" s="226"/>
      <c r="D1" s="226"/>
      <c r="E1" s="226"/>
      <c r="F1" s="226"/>
      <c r="G1" s="227" t="s">
        <v>12</v>
      </c>
      <c r="H1" s="228">
        <f>+Pressupostos!E1</f>
      </c>
    </row>
    <row x14ac:dyDescent="0.25" r="2" customHeight="1" ht="18.75">
      <c r="A2" s="192"/>
      <c r="B2" s="280"/>
      <c r="C2" s="226"/>
      <c r="D2" s="226"/>
      <c r="E2" s="226"/>
      <c r="F2" s="226"/>
      <c r="G2" s="38"/>
      <c r="H2" s="30">
        <f>+Pressupostos!B9</f>
      </c>
    </row>
    <row x14ac:dyDescent="0.25" r="3" customHeight="1" ht="18.75">
      <c r="A3" s="192"/>
      <c r="B3" s="280"/>
      <c r="C3" s="226"/>
      <c r="D3" s="226"/>
      <c r="E3" s="226"/>
      <c r="F3" s="226"/>
      <c r="G3" s="38"/>
      <c r="H3" s="30"/>
    </row>
    <row x14ac:dyDescent="0.25" r="4" customHeight="1" ht="18.75">
      <c r="A4" s="45" t="s">
        <v>239</v>
      </c>
      <c r="B4" s="46"/>
      <c r="C4" s="45"/>
      <c r="D4" s="45"/>
      <c r="E4" s="45"/>
      <c r="F4" s="45"/>
      <c r="G4" s="45"/>
      <c r="H4" s="45"/>
    </row>
    <row x14ac:dyDescent="0.25" r="5" customHeight="1" ht="18.75">
      <c r="A5" s="281"/>
      <c r="B5" s="282"/>
      <c r="C5" s="281"/>
      <c r="D5" s="281"/>
      <c r="E5" s="281"/>
      <c r="F5" s="281"/>
      <c r="G5" s="281"/>
      <c r="H5" s="281"/>
    </row>
    <row x14ac:dyDescent="0.25" r="6" customHeight="1" ht="18.75">
      <c r="A6" s="283"/>
      <c r="B6" s="284"/>
      <c r="C6" s="61"/>
      <c r="D6" s="61"/>
      <c r="E6" s="61"/>
      <c r="F6" s="61"/>
      <c r="G6" s="61"/>
      <c r="H6" s="61"/>
    </row>
    <row x14ac:dyDescent="0.25" r="7" customHeight="1" ht="18.75">
      <c r="A7" s="285" t="s">
        <v>240</v>
      </c>
      <c r="B7" s="286"/>
      <c r="C7" s="49">
        <f>+VN!C8</f>
      </c>
      <c r="D7" s="49">
        <f>+VN!D8</f>
      </c>
      <c r="E7" s="49">
        <f>+VN!E8</f>
      </c>
      <c r="F7" s="49">
        <f>+VN!F8</f>
      </c>
      <c r="G7" s="49">
        <f>+VN!G8</f>
      </c>
      <c r="H7" s="49">
        <f>+VN!H8</f>
      </c>
    </row>
    <row x14ac:dyDescent="0.25" r="8" customHeight="1" ht="18.75">
      <c r="A8" s="262" t="s">
        <v>122</v>
      </c>
      <c r="B8" s="287"/>
      <c r="C8" s="49"/>
      <c r="D8" s="49"/>
      <c r="E8" s="49"/>
      <c r="F8" s="49"/>
      <c r="G8" s="49"/>
      <c r="H8" s="49"/>
    </row>
    <row x14ac:dyDescent="0.25" r="9" customHeight="1" ht="18.75">
      <c r="A9" s="263" t="s">
        <v>241</v>
      </c>
      <c r="B9" s="287"/>
      <c r="C9" s="288"/>
      <c r="D9" s="288"/>
      <c r="E9" s="288"/>
      <c r="F9" s="288"/>
      <c r="G9" s="288"/>
      <c r="H9" s="288"/>
    </row>
    <row x14ac:dyDescent="0.25" r="10" customHeight="1" ht="18.75">
      <c r="A10" s="263" t="s">
        <v>242</v>
      </c>
      <c r="B10" s="287"/>
      <c r="C10" s="288"/>
      <c r="D10" s="288"/>
      <c r="E10" s="288"/>
      <c r="F10" s="288"/>
      <c r="G10" s="288"/>
      <c r="H10" s="288"/>
    </row>
    <row x14ac:dyDescent="0.25" r="11" customHeight="1" ht="18.75">
      <c r="A11" s="263" t="s">
        <v>243</v>
      </c>
      <c r="B11" s="287"/>
      <c r="C11" s="288"/>
      <c r="D11" s="288"/>
      <c r="E11" s="288"/>
      <c r="F11" s="288"/>
      <c r="G11" s="288"/>
      <c r="H11" s="288"/>
    </row>
    <row x14ac:dyDescent="0.25" r="12" customHeight="1" ht="18.75">
      <c r="A12" s="49" t="s">
        <v>244</v>
      </c>
      <c r="B12" s="289"/>
      <c r="C12" s="56">
        <f>+SUM(C9:C11)</f>
      </c>
      <c r="D12" s="56">
        <f>+SUM(D9:D11)</f>
      </c>
      <c r="E12" s="56">
        <f>+SUM(E9:E11)</f>
      </c>
      <c r="F12" s="56">
        <f>+SUM(F9:F11)</f>
      </c>
      <c r="G12" s="56">
        <f>+SUM(G9:G11)</f>
      </c>
      <c r="H12" s="56">
        <f>+SUM(H9:H11)</f>
      </c>
    </row>
    <row x14ac:dyDescent="0.25" r="13" customHeight="1" ht="18.75">
      <c r="A13" s="262" t="s">
        <v>121</v>
      </c>
      <c r="B13" s="290"/>
      <c r="C13" s="291"/>
      <c r="D13" s="291"/>
      <c r="E13" s="291"/>
      <c r="F13" s="291"/>
      <c r="G13" s="291"/>
      <c r="H13" s="291"/>
    </row>
    <row x14ac:dyDescent="0.25" r="14" customHeight="1" ht="18.75">
      <c r="A14" s="263" t="s">
        <v>241</v>
      </c>
      <c r="B14" s="290"/>
      <c r="C14" s="288"/>
      <c r="D14" s="288"/>
      <c r="E14" s="288"/>
      <c r="F14" s="288"/>
      <c r="G14" s="288"/>
      <c r="H14" s="288"/>
    </row>
    <row x14ac:dyDescent="0.25" r="15" customHeight="1" ht="18.75">
      <c r="A15" s="263" t="s">
        <v>242</v>
      </c>
      <c r="B15" s="290"/>
      <c r="C15" s="288"/>
      <c r="D15" s="288"/>
      <c r="E15" s="288"/>
      <c r="F15" s="288"/>
      <c r="G15" s="288"/>
      <c r="H15" s="288"/>
    </row>
    <row x14ac:dyDescent="0.25" r="16" customHeight="1" ht="18.75">
      <c r="A16" s="263" t="s">
        <v>245</v>
      </c>
      <c r="B16" s="290"/>
      <c r="C16" s="288"/>
      <c r="D16" s="288"/>
      <c r="E16" s="288"/>
      <c r="F16" s="288"/>
      <c r="G16" s="288"/>
      <c r="H16" s="288"/>
    </row>
    <row x14ac:dyDescent="0.25" r="17" customHeight="1" ht="18.75">
      <c r="A17" s="263" t="s">
        <v>246</v>
      </c>
      <c r="B17" s="290"/>
      <c r="C17" s="288"/>
      <c r="D17" s="288"/>
      <c r="E17" s="288"/>
      <c r="F17" s="288"/>
      <c r="G17" s="288"/>
      <c r="H17" s="288"/>
    </row>
    <row x14ac:dyDescent="0.25" r="18" customHeight="1" ht="18.75">
      <c r="A18" s="263" t="s">
        <v>247</v>
      </c>
      <c r="B18" s="290"/>
      <c r="C18" s="288"/>
      <c r="D18" s="288"/>
      <c r="E18" s="288"/>
      <c r="F18" s="288"/>
      <c r="G18" s="288"/>
      <c r="H18" s="288"/>
    </row>
    <row x14ac:dyDescent="0.25" r="19" customHeight="1" ht="18.75">
      <c r="A19" s="263" t="s">
        <v>248</v>
      </c>
      <c r="B19" s="290"/>
      <c r="C19" s="288"/>
      <c r="D19" s="288"/>
      <c r="E19" s="288"/>
      <c r="F19" s="288"/>
      <c r="G19" s="288"/>
      <c r="H19" s="288"/>
    </row>
    <row x14ac:dyDescent="0.25" r="20" customHeight="1" ht="18.75">
      <c r="A20" s="263" t="s">
        <v>249</v>
      </c>
      <c r="B20" s="290"/>
      <c r="C20" s="288"/>
      <c r="D20" s="288"/>
      <c r="E20" s="288"/>
      <c r="F20" s="288"/>
      <c r="G20" s="288"/>
      <c r="H20" s="288"/>
    </row>
    <row x14ac:dyDescent="0.25" r="21" customHeight="1" ht="18.75">
      <c r="A21" s="49" t="s">
        <v>250</v>
      </c>
      <c r="B21" s="49"/>
      <c r="C21" s="56">
        <f>+SUM(C14:C20)</f>
      </c>
      <c r="D21" s="56">
        <f>+SUM(D14:D20)</f>
      </c>
      <c r="E21" s="56">
        <f>+SUM(E14:E20)</f>
      </c>
      <c r="F21" s="56">
        <f>+SUM(F14:F20)</f>
      </c>
      <c r="G21" s="56">
        <f>+SUM(G14:G20)</f>
      </c>
      <c r="H21" s="56">
        <f>+SUM(H14:H20)</f>
      </c>
    </row>
    <row x14ac:dyDescent="0.25" r="22" customHeight="1" ht="18.75">
      <c r="A22" s="262" t="s">
        <v>123</v>
      </c>
      <c r="B22" s="290"/>
      <c r="C22" s="292"/>
      <c r="D22" s="292"/>
      <c r="E22" s="292"/>
      <c r="F22" s="292"/>
      <c r="G22" s="292"/>
      <c r="H22" s="292"/>
    </row>
    <row x14ac:dyDescent="0.25" r="23" customHeight="1" ht="18.75">
      <c r="A23" s="263" t="s">
        <v>251</v>
      </c>
      <c r="B23" s="290"/>
      <c r="C23" s="288"/>
      <c r="D23" s="288"/>
      <c r="E23" s="288"/>
      <c r="F23" s="288"/>
      <c r="G23" s="288"/>
      <c r="H23" s="288"/>
    </row>
    <row x14ac:dyDescent="0.25" r="24" customHeight="1" ht="18.75">
      <c r="A24" s="263" t="s">
        <v>252</v>
      </c>
      <c r="B24" s="290"/>
      <c r="C24" s="288"/>
      <c r="D24" s="288"/>
      <c r="E24" s="288"/>
      <c r="F24" s="288"/>
      <c r="G24" s="288"/>
      <c r="H24" s="288"/>
    </row>
    <row x14ac:dyDescent="0.25" r="25" customHeight="1" ht="18.75">
      <c r="A25" s="263" t="s">
        <v>253</v>
      </c>
      <c r="B25" s="290"/>
      <c r="C25" s="288"/>
      <c r="D25" s="288"/>
      <c r="E25" s="288"/>
      <c r="F25" s="288"/>
      <c r="G25" s="288"/>
      <c r="H25" s="288"/>
    </row>
    <row x14ac:dyDescent="0.25" r="26" customHeight="1" ht="18.75">
      <c r="A26" s="263" t="s">
        <v>254</v>
      </c>
      <c r="B26" s="290"/>
      <c r="C26" s="288"/>
      <c r="D26" s="288"/>
      <c r="E26" s="288"/>
      <c r="F26" s="288"/>
      <c r="G26" s="288"/>
      <c r="H26" s="288"/>
    </row>
    <row x14ac:dyDescent="0.25" r="27" customHeight="1" ht="18.75">
      <c r="A27" s="263" t="s">
        <v>255</v>
      </c>
      <c r="B27" s="290"/>
      <c r="C27" s="288"/>
      <c r="D27" s="288"/>
      <c r="E27" s="288"/>
      <c r="F27" s="288"/>
      <c r="G27" s="288"/>
      <c r="H27" s="288"/>
    </row>
    <row x14ac:dyDescent="0.25" r="28" customHeight="1" ht="18.75">
      <c r="A28" s="49" t="s">
        <v>256</v>
      </c>
      <c r="B28" s="49"/>
      <c r="C28" s="56">
        <f>+SUM(C23:C27)</f>
      </c>
      <c r="D28" s="56">
        <f>+SUM(D23:D27)</f>
      </c>
      <c r="E28" s="56">
        <f>+SUM(E23:E27)</f>
      </c>
      <c r="F28" s="56">
        <f>+SUM(F23:F27)</f>
      </c>
      <c r="G28" s="56">
        <f>+SUM(G23:G27)</f>
      </c>
      <c r="H28" s="56">
        <f>+SUM(H23:H27)</f>
      </c>
    </row>
    <row x14ac:dyDescent="0.25" r="29" customHeight="1" ht="18.75">
      <c r="A29" s="266" t="s">
        <v>257</v>
      </c>
      <c r="B29" s="266"/>
      <c r="C29" s="220">
        <f>+C12+C21+C28</f>
      </c>
      <c r="D29" s="220">
        <f>+D12+D21+D28</f>
      </c>
      <c r="E29" s="220">
        <f>+E12+E21+E28</f>
      </c>
      <c r="F29" s="220">
        <f>+F12+F21+F28</f>
      </c>
      <c r="G29" s="220">
        <f>+G12+G21+G28</f>
      </c>
      <c r="H29" s="220">
        <f>+H12+H21+H28</f>
      </c>
    </row>
    <row x14ac:dyDescent="0.25" r="30" customHeight="1" ht="18.75">
      <c r="A30" s="212"/>
      <c r="B30" s="212"/>
      <c r="C30" s="62"/>
      <c r="D30" s="62"/>
      <c r="E30" s="62"/>
      <c r="F30" s="62"/>
      <c r="G30" s="62"/>
      <c r="H30" s="62"/>
    </row>
    <row x14ac:dyDescent="0.25" r="31" customHeight="1" ht="18.75">
      <c r="A31" s="96" t="s">
        <v>258</v>
      </c>
      <c r="B31" s="293"/>
      <c r="C31" s="294">
        <f>+'Gastos com Pessoal'!D9</f>
      </c>
      <c r="D31" s="294">
        <f>+'Gastos com Pessoal'!E9</f>
      </c>
      <c r="E31" s="294">
        <f>+'Gastos com Pessoal'!F9</f>
      </c>
      <c r="F31" s="294">
        <f>+'Gastos com Pessoal'!G9</f>
      </c>
      <c r="G31" s="294">
        <f>+'Gastos com Pessoal'!H9</f>
      </c>
      <c r="H31" s="294">
        <f>+'Gastos com Pessoal'!I9</f>
      </c>
    </row>
    <row x14ac:dyDescent="0.25" r="32" customHeight="1" ht="18.75">
      <c r="A32" s="38"/>
      <c r="B32" s="44"/>
      <c r="C32" s="30"/>
      <c r="D32" s="30"/>
      <c r="E32" s="30"/>
      <c r="F32" s="30"/>
      <c r="G32" s="30"/>
      <c r="H32" s="30"/>
    </row>
    <row x14ac:dyDescent="0.25" r="33" customHeight="1" ht="18.75">
      <c r="A33" s="266" t="s">
        <v>259</v>
      </c>
      <c r="B33" s="295">
        <f>+Pressupostos!B22</f>
      </c>
      <c r="C33" s="220">
        <f>+$B$33*(C16+C18+C20+C25)</f>
      </c>
      <c r="D33" s="220">
        <f>+$B$33*(D16+D18+D20+D25)</f>
      </c>
      <c r="E33" s="220">
        <f>+$B$33*(E16+E18+E20+E25)</f>
      </c>
      <c r="F33" s="220">
        <f>+$B$33*(F16+F18+F20+F25)</f>
      </c>
      <c r="G33" s="220">
        <f>+$B$33*(G16+G18+G20+G25)</f>
      </c>
      <c r="H33" s="220">
        <f>+$B$33*(H16+H18+H20+H25)</f>
      </c>
    </row>
    <row x14ac:dyDescent="0.25" r="34" customHeight="1" ht="18.75">
      <c r="A34" s="296"/>
      <c r="B34" s="44"/>
      <c r="C34" s="30"/>
      <c r="D34" s="30"/>
      <c r="E34" s="30"/>
      <c r="F34" s="30"/>
      <c r="G34" s="30"/>
      <c r="H34" s="30"/>
    </row>
    <row x14ac:dyDescent="0.25" r="35" customHeight="1" ht="18.75">
      <c r="A35" s="285" t="s">
        <v>260</v>
      </c>
      <c r="B35" s="286"/>
      <c r="C35" s="49">
        <f>+C7</f>
      </c>
      <c r="D35" s="49">
        <f>+D7</f>
      </c>
      <c r="E35" s="49">
        <f>+E7</f>
      </c>
      <c r="F35" s="49">
        <f>+F7</f>
      </c>
      <c r="G35" s="49">
        <f>+G7</f>
      </c>
      <c r="H35" s="49">
        <f>+H7</f>
      </c>
    </row>
    <row x14ac:dyDescent="0.25" r="36" customHeight="1" ht="18.75">
      <c r="A36" s="262" t="s">
        <v>122</v>
      </c>
      <c r="B36" s="287"/>
      <c r="C36" s="297"/>
      <c r="D36" s="297"/>
      <c r="E36" s="297"/>
      <c r="F36" s="297"/>
      <c r="G36" s="297"/>
      <c r="H36" s="297"/>
    </row>
    <row x14ac:dyDescent="0.25" r="37" customHeight="1" ht="18.75">
      <c r="A37" s="263" t="s">
        <v>241</v>
      </c>
      <c r="B37" s="287"/>
      <c r="C37" s="292">
        <f>+C9</f>
      </c>
      <c r="D37" s="292">
        <f>+C37+D9</f>
      </c>
      <c r="E37" s="292">
        <f>+D37+E9</f>
      </c>
      <c r="F37" s="292">
        <f>+E37+F9</f>
      </c>
      <c r="G37" s="292">
        <f>+F37+G9</f>
      </c>
      <c r="H37" s="292">
        <f>+G37+H9</f>
      </c>
    </row>
    <row x14ac:dyDescent="0.25" r="38" customHeight="1" ht="18.75">
      <c r="A38" s="263" t="s">
        <v>242</v>
      </c>
      <c r="B38" s="287"/>
      <c r="C38" s="292">
        <f>+C10</f>
      </c>
      <c r="D38" s="292">
        <f>+C38+D10</f>
      </c>
      <c r="E38" s="292">
        <f>+D38+E10</f>
      </c>
      <c r="F38" s="292">
        <f>+E38+F10</f>
      </c>
      <c r="G38" s="292">
        <f>+F38+G10</f>
      </c>
      <c r="H38" s="292">
        <f>+G38+H10</f>
      </c>
    </row>
    <row x14ac:dyDescent="0.25" r="39" customHeight="1" ht="18.75">
      <c r="A39" s="263" t="s">
        <v>243</v>
      </c>
      <c r="B39" s="287"/>
      <c r="C39" s="292">
        <f>+C11</f>
      </c>
      <c r="D39" s="292">
        <f>+C39+D11</f>
      </c>
      <c r="E39" s="292">
        <f>+D39+E11</f>
      </c>
      <c r="F39" s="292">
        <f>+E39+F11</f>
      </c>
      <c r="G39" s="292">
        <f>+F39+G11</f>
      </c>
      <c r="H39" s="292">
        <f>+G39+H11</f>
      </c>
    </row>
    <row x14ac:dyDescent="0.25" r="40" customHeight="1" ht="18.75">
      <c r="A40" s="49" t="s">
        <v>244</v>
      </c>
      <c r="B40" s="289"/>
      <c r="C40" s="298">
        <f>+SUM(C37:C39)</f>
      </c>
      <c r="D40" s="298">
        <f>+SUM(D37:D39)</f>
      </c>
      <c r="E40" s="298">
        <f>+SUM(E37:E39)</f>
      </c>
      <c r="F40" s="298">
        <f>+SUM(F37:F39)</f>
      </c>
      <c r="G40" s="298">
        <f>+SUM(G37:G39)</f>
      </c>
      <c r="H40" s="298">
        <f>+SUM(H37:H39)</f>
      </c>
    </row>
    <row x14ac:dyDescent="0.25" r="41" customHeight="1" ht="18.75">
      <c r="A41" s="262" t="s">
        <v>121</v>
      </c>
      <c r="B41" s="290"/>
      <c r="C41" s="298"/>
      <c r="D41" s="298"/>
      <c r="E41" s="298"/>
      <c r="F41" s="298"/>
      <c r="G41" s="298"/>
      <c r="H41" s="298"/>
    </row>
    <row x14ac:dyDescent="0.25" r="42" customHeight="1" ht="18.75">
      <c r="A42" s="263" t="s">
        <v>261</v>
      </c>
      <c r="B42" s="290"/>
      <c r="C42" s="56">
        <f>+C14</f>
      </c>
      <c r="D42" s="201">
        <f>+C42+D14</f>
      </c>
      <c r="E42" s="201">
        <f>+D42+E14</f>
      </c>
      <c r="F42" s="201">
        <f>+E42+F14</f>
      </c>
      <c r="G42" s="201">
        <f>+F42+G14</f>
      </c>
      <c r="H42" s="201">
        <f>+G42+H14</f>
      </c>
    </row>
    <row x14ac:dyDescent="0.25" r="43" customHeight="1" ht="18.75">
      <c r="A43" s="263" t="s">
        <v>262</v>
      </c>
      <c r="B43" s="290"/>
      <c r="C43" s="56">
        <f>+C15</f>
      </c>
      <c r="D43" s="201">
        <f>+C43+D15</f>
      </c>
      <c r="E43" s="201">
        <f>+D43+E15</f>
      </c>
      <c r="F43" s="201">
        <f>+E43+F15</f>
      </c>
      <c r="G43" s="201">
        <f>+F43+G15</f>
      </c>
      <c r="H43" s="201">
        <f>+G43+H15</f>
      </c>
    </row>
    <row x14ac:dyDescent="0.25" r="44" customHeight="1" ht="18.75">
      <c r="A44" s="263" t="s">
        <v>263</v>
      </c>
      <c r="B44" s="290"/>
      <c r="C44" s="56">
        <f>+C16</f>
      </c>
      <c r="D44" s="201">
        <f>+C44+D16</f>
      </c>
      <c r="E44" s="201">
        <f>+D44+E16</f>
      </c>
      <c r="F44" s="201">
        <f>+E44+F16</f>
      </c>
      <c r="G44" s="201">
        <f>+F44+G16</f>
      </c>
      <c r="H44" s="201">
        <f>+G44+H16</f>
      </c>
    </row>
    <row x14ac:dyDescent="0.25" r="45" customHeight="1" ht="18.75">
      <c r="A45" s="263" t="s">
        <v>264</v>
      </c>
      <c r="B45" s="290"/>
      <c r="C45" s="56">
        <f>+C17</f>
      </c>
      <c r="D45" s="201">
        <f>+C45+D17</f>
      </c>
      <c r="E45" s="201">
        <f>+D45+E17</f>
      </c>
      <c r="F45" s="201">
        <f>+E45+F17</f>
      </c>
      <c r="G45" s="201">
        <f>+F45+G17</f>
      </c>
      <c r="H45" s="201">
        <f>+G45+H17</f>
      </c>
    </row>
    <row x14ac:dyDescent="0.25" r="46" customHeight="1" ht="18.75">
      <c r="A46" s="263" t="s">
        <v>265</v>
      </c>
      <c r="B46" s="290"/>
      <c r="C46" s="56">
        <f>+C18</f>
      </c>
      <c r="D46" s="201">
        <f>+C46+D18</f>
      </c>
      <c r="E46" s="201">
        <f>+D46+E18</f>
      </c>
      <c r="F46" s="201">
        <f>+E46+F18</f>
      </c>
      <c r="G46" s="201">
        <f>+F46+G18</f>
      </c>
      <c r="H46" s="201">
        <f>+G46+H18</f>
      </c>
    </row>
    <row x14ac:dyDescent="0.25" r="47" customHeight="1" ht="18.75">
      <c r="A47" s="263" t="s">
        <v>266</v>
      </c>
      <c r="B47" s="290"/>
      <c r="C47" s="56">
        <f>+C19</f>
      </c>
      <c r="D47" s="201">
        <f>+C47+D19</f>
      </c>
      <c r="E47" s="201">
        <f>+D47+E19</f>
      </c>
      <c r="F47" s="201">
        <f>+E47+F19</f>
      </c>
      <c r="G47" s="201">
        <f>+F47+G19</f>
      </c>
      <c r="H47" s="201">
        <f>+G47+H19</f>
      </c>
    </row>
    <row x14ac:dyDescent="0.25" r="48" customHeight="1" ht="18.75">
      <c r="A48" s="263" t="s">
        <v>267</v>
      </c>
      <c r="B48" s="290"/>
      <c r="C48" s="56">
        <f>+C20</f>
      </c>
      <c r="D48" s="201">
        <f>+C48+D20</f>
      </c>
      <c r="E48" s="201">
        <f>+D48+E20</f>
      </c>
      <c r="F48" s="201">
        <f>+E48+F20</f>
      </c>
      <c r="G48" s="201">
        <f>+F48+G20</f>
      </c>
      <c r="H48" s="201">
        <f>+G48+H20</f>
      </c>
    </row>
    <row x14ac:dyDescent="0.25" r="49" customHeight="1" ht="18.75">
      <c r="A49" s="49" t="s">
        <v>250</v>
      </c>
      <c r="B49" s="49"/>
      <c r="C49" s="56">
        <f>+SUM(C42:C48)</f>
      </c>
      <c r="D49" s="56">
        <f>+SUM(D42:D48)</f>
      </c>
      <c r="E49" s="56">
        <f>+SUM(E42:E48)</f>
      </c>
      <c r="F49" s="56">
        <f>+SUM(F42:F48)</f>
      </c>
      <c r="G49" s="56">
        <f>+SUM(G42:G48)</f>
      </c>
      <c r="H49" s="56">
        <f>+SUM(H42:H48)</f>
      </c>
    </row>
    <row x14ac:dyDescent="0.25" r="50" customHeight="1" ht="18.75">
      <c r="A50" s="262" t="s">
        <v>123</v>
      </c>
      <c r="B50" s="290"/>
      <c r="C50" s="56"/>
      <c r="D50" s="56"/>
      <c r="E50" s="56"/>
      <c r="F50" s="56"/>
      <c r="G50" s="56"/>
      <c r="H50" s="56"/>
    </row>
    <row x14ac:dyDescent="0.25" r="51" customHeight="1" ht="18.75">
      <c r="A51" s="263" t="s">
        <v>251</v>
      </c>
      <c r="B51" s="290"/>
      <c r="C51" s="201">
        <f>+C23</f>
      </c>
      <c r="D51" s="201">
        <f>+C51+D23</f>
      </c>
      <c r="E51" s="201">
        <f>+D51+E23</f>
      </c>
      <c r="F51" s="201">
        <f>+E51+F23</f>
      </c>
      <c r="G51" s="201">
        <f>+F51+G23</f>
      </c>
      <c r="H51" s="201">
        <f>+G51+H23</f>
      </c>
    </row>
    <row x14ac:dyDescent="0.25" r="52" customHeight="1" ht="18.75">
      <c r="A52" s="263" t="s">
        <v>252</v>
      </c>
      <c r="B52" s="290"/>
      <c r="C52" s="201">
        <f>+C24</f>
      </c>
      <c r="D52" s="201">
        <f>+C52+D24</f>
      </c>
      <c r="E52" s="201">
        <f>+D52+E24</f>
      </c>
      <c r="F52" s="201">
        <f>+E52+F24</f>
      </c>
      <c r="G52" s="201">
        <f>+F52+G24</f>
      </c>
      <c r="H52" s="201">
        <f>+G52+H24</f>
      </c>
    </row>
    <row x14ac:dyDescent="0.25" r="53" customHeight="1" ht="18.75">
      <c r="A53" s="263" t="s">
        <v>253</v>
      </c>
      <c r="B53" s="290"/>
      <c r="C53" s="201">
        <f>+C25</f>
      </c>
      <c r="D53" s="201">
        <f>+C53+D25</f>
      </c>
      <c r="E53" s="201">
        <f>+D53+E25</f>
      </c>
      <c r="F53" s="201">
        <f>+E53+F25</f>
      </c>
      <c r="G53" s="201">
        <f>+F53+G25</f>
      </c>
      <c r="H53" s="201">
        <f>+G53+H25</f>
      </c>
    </row>
    <row x14ac:dyDescent="0.25" r="54" customHeight="1" ht="18.75">
      <c r="A54" s="263" t="s">
        <v>254</v>
      </c>
      <c r="B54" s="290"/>
      <c r="C54" s="201">
        <f>+C26</f>
      </c>
      <c r="D54" s="201">
        <f>+C54+D26</f>
      </c>
      <c r="E54" s="201">
        <f>+D54+E26</f>
      </c>
      <c r="F54" s="201">
        <f>+E54+F26</f>
      </c>
      <c r="G54" s="201">
        <f>+F54+G26</f>
      </c>
      <c r="H54" s="201">
        <f>+G54+H26</f>
      </c>
    </row>
    <row x14ac:dyDescent="0.25" r="55" customHeight="1" ht="18.75">
      <c r="A55" s="263" t="s">
        <v>255</v>
      </c>
      <c r="B55" s="290"/>
      <c r="C55" s="201">
        <f>+C27</f>
      </c>
      <c r="D55" s="201">
        <f>+C55+D27</f>
      </c>
      <c r="E55" s="201">
        <f>+D55+E27</f>
      </c>
      <c r="F55" s="201">
        <f>+E55+F27</f>
      </c>
      <c r="G55" s="201">
        <f>+F55+G27</f>
      </c>
      <c r="H55" s="201">
        <f>+G55+H27</f>
      </c>
    </row>
    <row x14ac:dyDescent="0.25" r="56" customHeight="1" ht="18.75">
      <c r="A56" s="49" t="s">
        <v>256</v>
      </c>
      <c r="B56" s="49"/>
      <c r="C56" s="56">
        <f>+SUM(C51:C55)</f>
      </c>
      <c r="D56" s="56">
        <f>+SUM(D51:D55)</f>
      </c>
      <c r="E56" s="56">
        <f>+SUM(E51:E55)</f>
      </c>
      <c r="F56" s="56">
        <f>+SUM(F51:F55)</f>
      </c>
      <c r="G56" s="56">
        <f>+SUM(G51:G55)</f>
      </c>
      <c r="H56" s="56">
        <f>+SUM(H51:H55)</f>
      </c>
    </row>
    <row x14ac:dyDescent="0.25" r="57" customHeight="1" ht="18.75">
      <c r="A57" s="266" t="s">
        <v>268</v>
      </c>
      <c r="B57" s="266"/>
      <c r="C57" s="220">
        <f>+C40+C49+C56</f>
      </c>
      <c r="D57" s="220">
        <f>+D40+D49+D56</f>
      </c>
      <c r="E57" s="220">
        <f>+E40+E49+E56</f>
      </c>
      <c r="F57" s="220">
        <f>+F40+F49+F56</f>
      </c>
      <c r="G57" s="220">
        <f>+G40+G49+G56</f>
      </c>
      <c r="H57" s="220">
        <f>+H40+H49+H56</f>
      </c>
    </row>
    <row x14ac:dyDescent="0.25" r="58" customHeight="1" ht="18.75">
      <c r="A58" s="38"/>
      <c r="B58" s="44"/>
      <c r="C58" s="30"/>
      <c r="D58" s="30"/>
      <c r="E58" s="30"/>
      <c r="F58" s="30"/>
      <c r="G58" s="30"/>
      <c r="H58" s="30"/>
    </row>
    <row x14ac:dyDescent="0.25" r="59" customHeight="1" ht="18.75">
      <c r="A59" s="38"/>
      <c r="B59" s="44"/>
      <c r="C59" s="30"/>
      <c r="D59" s="30"/>
      <c r="E59" s="30"/>
      <c r="F59" s="30"/>
      <c r="G59" s="30"/>
      <c r="H59" s="30"/>
    </row>
    <row x14ac:dyDescent="0.25" r="60" customHeight="1" ht="18.75">
      <c r="A60" s="299" t="s">
        <v>269</v>
      </c>
      <c r="B60" s="300"/>
      <c r="C60" s="299"/>
      <c r="D60" s="301" t="s">
        <v>270</v>
      </c>
      <c r="E60" s="302"/>
      <c r="F60" s="302"/>
      <c r="G60" s="302"/>
      <c r="H60" s="30"/>
    </row>
    <row x14ac:dyDescent="0.25" r="61" customHeight="1" ht="18.75">
      <c r="A61" s="303" t="s">
        <v>122</v>
      </c>
      <c r="B61" s="304"/>
      <c r="C61" s="305"/>
      <c r="D61" s="302"/>
      <c r="E61" s="302"/>
      <c r="F61" s="302"/>
      <c r="G61" s="302"/>
      <c r="H61" s="30"/>
    </row>
    <row x14ac:dyDescent="0.25" r="62" customHeight="1" ht="18.75">
      <c r="A62" s="263" t="s">
        <v>242</v>
      </c>
      <c r="B62" s="290"/>
      <c r="C62" s="306">
        <v>0.04</v>
      </c>
      <c r="D62" s="30"/>
      <c r="E62" s="30"/>
      <c r="F62" s="30"/>
      <c r="G62" s="30"/>
      <c r="H62" s="30"/>
    </row>
    <row x14ac:dyDescent="0.25" r="63" customHeight="1" ht="18.75">
      <c r="A63" s="263" t="s">
        <v>243</v>
      </c>
      <c r="B63" s="290"/>
      <c r="C63" s="306">
        <v>0.2</v>
      </c>
      <c r="D63" s="30"/>
      <c r="E63" s="30"/>
      <c r="F63" s="30"/>
      <c r="G63" s="30"/>
      <c r="H63" s="30"/>
    </row>
    <row x14ac:dyDescent="0.25" r="64" customHeight="1" ht="18.75">
      <c r="A64" s="262" t="s">
        <v>121</v>
      </c>
      <c r="B64" s="290"/>
      <c r="C64" s="307"/>
      <c r="D64" s="30"/>
      <c r="E64" s="30"/>
      <c r="F64" s="30"/>
      <c r="G64" s="30"/>
      <c r="H64" s="30"/>
    </row>
    <row x14ac:dyDescent="0.25" r="65" customHeight="1" ht="18.75">
      <c r="A65" s="263" t="s">
        <v>242</v>
      </c>
      <c r="B65" s="290"/>
      <c r="C65" s="306">
        <v>0.05</v>
      </c>
      <c r="D65" s="308"/>
      <c r="E65" s="30"/>
      <c r="F65" s="30"/>
      <c r="G65" s="30"/>
      <c r="H65" s="30"/>
    </row>
    <row x14ac:dyDescent="0.25" r="66" customHeight="1" ht="18.75">
      <c r="A66" s="263" t="s">
        <v>245</v>
      </c>
      <c r="B66" s="290"/>
      <c r="C66" s="306">
        <v>0.125</v>
      </c>
      <c r="D66" s="30"/>
      <c r="E66" s="30"/>
      <c r="F66" s="30"/>
      <c r="G66" s="30"/>
      <c r="H66" s="30"/>
    </row>
    <row x14ac:dyDescent="0.25" r="67" customHeight="1" ht="18.75">
      <c r="A67" s="263" t="s">
        <v>246</v>
      </c>
      <c r="B67" s="290"/>
      <c r="C67" s="306">
        <v>0.25</v>
      </c>
      <c r="D67" s="30"/>
      <c r="E67" s="30"/>
      <c r="F67" s="30"/>
      <c r="G67" s="30"/>
      <c r="H67" s="30"/>
    </row>
    <row x14ac:dyDescent="0.25" r="68" customHeight="1" ht="18.75">
      <c r="A68" s="263" t="s">
        <v>247</v>
      </c>
      <c r="B68" s="290"/>
      <c r="C68" s="306">
        <v>0.25</v>
      </c>
      <c r="D68" s="30"/>
      <c r="E68" s="30"/>
      <c r="F68" s="30"/>
      <c r="G68" s="30"/>
      <c r="H68" s="30"/>
    </row>
    <row x14ac:dyDescent="0.25" r="69" customHeight="1" ht="18.75">
      <c r="A69" s="263" t="s">
        <v>248</v>
      </c>
      <c r="B69" s="290"/>
      <c r="C69" s="306">
        <v>0.2</v>
      </c>
      <c r="D69" s="30"/>
      <c r="E69" s="30"/>
      <c r="F69" s="30"/>
      <c r="G69" s="30"/>
      <c r="H69" s="30"/>
    </row>
    <row x14ac:dyDescent="0.25" r="70" customHeight="1" ht="18.75">
      <c r="A70" s="263" t="s">
        <v>249</v>
      </c>
      <c r="B70" s="290"/>
      <c r="C70" s="306">
        <v>0.25</v>
      </c>
      <c r="D70" s="30"/>
      <c r="E70" s="30"/>
      <c r="F70" s="30"/>
      <c r="G70" s="30"/>
      <c r="H70" s="30"/>
    </row>
    <row x14ac:dyDescent="0.25" r="71" customHeight="1" ht="18.75">
      <c r="A71" s="262" t="s">
        <v>123</v>
      </c>
      <c r="B71" s="290"/>
      <c r="C71" s="307"/>
      <c r="D71" s="30"/>
      <c r="E71" s="30"/>
      <c r="F71" s="30"/>
      <c r="G71" s="30"/>
      <c r="H71" s="30"/>
    </row>
    <row x14ac:dyDescent="0.25" r="72" customHeight="1" ht="18.75">
      <c r="A72" s="263" t="s">
        <v>252</v>
      </c>
      <c r="B72" s="290"/>
      <c r="C72" s="309">
        <f>0.333333333333333*100%</f>
      </c>
      <c r="D72" s="310" t="s">
        <v>271</v>
      </c>
      <c r="E72" s="311"/>
      <c r="F72" s="311"/>
      <c r="G72" s="311"/>
      <c r="H72" s="311"/>
    </row>
    <row x14ac:dyDescent="0.25" r="73" customHeight="1" ht="18.75">
      <c r="A73" s="263" t="s">
        <v>253</v>
      </c>
      <c r="B73" s="290"/>
      <c r="C73" s="309">
        <f>0.333333333333333*100%</f>
      </c>
      <c r="D73" s="311"/>
      <c r="E73" s="311"/>
      <c r="F73" s="311"/>
      <c r="G73" s="311"/>
      <c r="H73" s="311"/>
    </row>
    <row x14ac:dyDescent="0.25" r="74" customHeight="1" ht="18.75">
      <c r="A74" s="263" t="s">
        <v>254</v>
      </c>
      <c r="B74" s="290"/>
      <c r="C74" s="309">
        <f>0.333333333333333*100%</f>
      </c>
      <c r="D74" s="30"/>
      <c r="E74" s="30"/>
      <c r="F74" s="30"/>
      <c r="G74" s="30"/>
      <c r="H74" s="30"/>
    </row>
    <row x14ac:dyDescent="0.25" r="75" customHeight="1" ht="18.75">
      <c r="A75" s="263" t="s">
        <v>255</v>
      </c>
      <c r="B75" s="290"/>
      <c r="C75" s="309">
        <f>0.333333333333333*100%</f>
      </c>
      <c r="D75" s="30"/>
      <c r="E75" s="30"/>
      <c r="F75" s="30"/>
      <c r="G75" s="30"/>
      <c r="H75" s="30"/>
    </row>
    <row x14ac:dyDescent="0.25" r="76" customHeight="1" ht="18.75">
      <c r="A76" s="38"/>
      <c r="B76" s="44"/>
      <c r="C76" s="30"/>
      <c r="D76" s="30"/>
      <c r="E76" s="30"/>
      <c r="F76" s="30"/>
      <c r="G76" s="30"/>
      <c r="H76" s="30"/>
    </row>
    <row x14ac:dyDescent="0.25" r="77" customHeight="1" ht="18.75" hidden="1">
      <c r="A77" s="312" t="s">
        <v>272</v>
      </c>
      <c r="B77" s="287"/>
      <c r="C77" s="49">
        <f>+C7</f>
      </c>
      <c r="D77" s="49">
        <f>+C77+1</f>
      </c>
      <c r="E77" s="49">
        <f>+D77+1</f>
      </c>
      <c r="F77" s="49">
        <f>+E77+1</f>
      </c>
      <c r="G77" s="49">
        <f>+F77+1</f>
      </c>
      <c r="H77" s="49">
        <f>+G77+1</f>
      </c>
    </row>
    <row x14ac:dyDescent="0.25" r="78" customHeight="1" ht="18.75" hidden="1">
      <c r="A78" s="313" t="s">
        <v>273</v>
      </c>
      <c r="B78" s="314"/>
      <c r="C78" s="315"/>
      <c r="D78" s="315"/>
      <c r="E78" s="315"/>
      <c r="F78" s="315"/>
      <c r="G78" s="315"/>
      <c r="H78" s="315"/>
    </row>
    <row x14ac:dyDescent="0.25" r="79" customHeight="1" ht="18.75" hidden="1">
      <c r="A79" s="316" t="s">
        <v>274</v>
      </c>
      <c r="B79" s="317">
        <f>+C62</f>
      </c>
      <c r="C79" s="318">
        <f>SUM(C80:C85)</f>
      </c>
      <c r="D79" s="318">
        <f>SUM(D80:D85)</f>
      </c>
      <c r="E79" s="318">
        <f>SUM(E80:E85)</f>
      </c>
      <c r="F79" s="318">
        <f>SUM(F80:F85)</f>
      </c>
      <c r="G79" s="318">
        <f>SUM(G80:G85)</f>
      </c>
      <c r="H79" s="318">
        <f>SUM(H80:H85)</f>
      </c>
    </row>
    <row x14ac:dyDescent="0.25" r="80" customHeight="1" ht="18.75" hidden="1">
      <c r="A80" s="319">
        <f>C77</f>
      </c>
      <c r="B80" s="320"/>
      <c r="C80" s="321">
        <f>+IF(C$10&lt;0,0,C$10*$B$79)/12*C$31</f>
      </c>
      <c r="D80" s="322">
        <f>+IF(AND(C80&gt;0,C10&gt;0),+IF(ROUNDUP(SUM($C80:C80),0)&lt;C10,+C10*$B79*(C$31/12)),C10*$B79*(D$31/12))</f>
      </c>
      <c r="E80" s="323">
        <f>+IF(D80=0,0,+IF(ROUNDUP(SUM($C80:D80),0)&lt;$C$10,MIN(($C$10-SUM($C80:D80)),$C$10*$B$79),0))</f>
      </c>
      <c r="F80" s="323">
        <f>+IF(E80=0,0,+IF(ROUNDUP(SUM($C80:E80),0)&lt;$C$10,MIN(($C$10-SUM($C80:E80)),$C$10*$B$79),0))</f>
      </c>
      <c r="G80" s="323">
        <f>+IF(F80=0,0,+IF(ROUNDUP(SUM($C80:F80),0)&lt;$C$10,MIN(($C$10-SUM($C80:F80)),$C$10*$B$79),0))</f>
      </c>
      <c r="H80" s="323">
        <f>+IF(G80=0,0,+IF(ROUNDUP(SUM($C80:G80),0)&lt;$C$10,MIN(($C$10-SUM($C80:G80)),$C$10*$B$79),0))</f>
      </c>
    </row>
    <row x14ac:dyDescent="0.25" r="81" customHeight="1" ht="18.75" hidden="1">
      <c r="A81" s="319">
        <f>A80+1</f>
      </c>
      <c r="B81" s="320"/>
      <c r="C81" s="323"/>
      <c r="D81" s="321">
        <f>+IF(D$10&lt;0,0,D$10*$B$79)/12*D$31</f>
      </c>
      <c r="E81" s="323">
        <f>+IF(D81=0,0,+IF(ROUNDUP(SUM(D$81:$D81),0)&lt;$D$10,MIN(($D$10-SUM($D81:D81)),$D$10*$B$79),0))</f>
      </c>
      <c r="F81" s="323">
        <f>+IF(E81=0,0,+IF(ROUNDUP(SUM($D$81:E81),0)&lt;$D$10,MIN(($D$10-SUM($D81:E81)),$D$10*$B$79),0))</f>
      </c>
      <c r="G81" s="323">
        <f>+IF(F81=0,0,+IF(ROUNDUP(SUM($D$81:F81),0)&lt;$D$10,MIN(($D$10-SUM($D81:F81)),$D$10*$B$79),0))</f>
      </c>
      <c r="H81" s="323">
        <f>+IF(G81=0,0,+IF(ROUNDUP(SUM($D$81:G81),0)&lt;$D$10,MIN(($D$10-SUM($D81:G81)),$D$10*$B$79),0))</f>
      </c>
    </row>
    <row x14ac:dyDescent="0.25" r="82" customHeight="1" ht="18.75" hidden="1">
      <c r="A82" s="319">
        <f>A81+1</f>
      </c>
      <c r="B82" s="320"/>
      <c r="C82" s="323"/>
      <c r="D82" s="323"/>
      <c r="E82" s="321">
        <f>+IF(E$10&lt;0,0,E$10*$B$79)/12*E$31</f>
      </c>
      <c r="F82" s="323">
        <f>+IF(E82=0,0,+IF(ROUNDUP(SUM($E$81:E82),0)&lt;$E$10,MIN(($E$10-SUM($E82:E82)),$E$10*$B$79),0))</f>
      </c>
      <c r="G82" s="323">
        <f>+IF(F82=0,0,+IF(ROUNDUP(SUM($E$81:F82),0)&lt;$E$10,MIN(($E$10-SUM($E82:F82)),$E$10*$B$79),0))</f>
      </c>
      <c r="H82" s="323">
        <f>+IF(G82=0,0,+IF(ROUNDUP(SUM($E$81:G82),0)&lt;$E$10,MIN(($E$10-SUM($E82:G82)),$E$10*$B$79),0))</f>
      </c>
    </row>
    <row x14ac:dyDescent="0.25" r="83" customHeight="1" ht="18.75" hidden="1">
      <c r="A83" s="319">
        <f>A82+1</f>
      </c>
      <c r="B83" s="320"/>
      <c r="C83" s="323"/>
      <c r="D83" s="323"/>
      <c r="E83" s="323"/>
      <c r="F83" s="321">
        <f>+IF(F$10&lt;0,0,F$10*$B$79)/12*F$31</f>
      </c>
      <c r="G83" s="323">
        <f>+IF(F83=0,0,+IF(ROUNDUP(SUM($F$81:F83),0)&lt;$F$10,MIN(($F$10-SUM($F83:F83)),$F$10*$B$79),0))</f>
      </c>
      <c r="H83" s="323">
        <f>+IF(G83=0,0,+IF(ROUNDUP(SUM($F$81:G83),0)&lt;$F$10,MIN(($F$10-SUM($F83:G83)),$F$10*$B$79),0))</f>
      </c>
    </row>
    <row x14ac:dyDescent="0.25" r="84" customHeight="1" ht="18.75" hidden="1">
      <c r="A84" s="319">
        <f>A83+1</f>
      </c>
      <c r="B84" s="320"/>
      <c r="C84" s="323"/>
      <c r="D84" s="323"/>
      <c r="E84" s="323"/>
      <c r="F84" s="323"/>
      <c r="G84" s="321">
        <f>+IF(G$10&lt;0,0,G$10*$B$79)/12*G$31</f>
      </c>
      <c r="H84" s="323">
        <f>+IF(G84=0,0,+IF(ROUNDUP(SUM($G$81:G84),0)&lt;$G$10,MIN(($G$10-SUM($G84:G84)),$G$10*$B$79),0))</f>
      </c>
    </row>
    <row x14ac:dyDescent="0.25" r="85" customHeight="1" ht="18.75" hidden="1">
      <c r="A85" s="319">
        <f>A84+1</f>
      </c>
      <c r="B85" s="320"/>
      <c r="C85" s="323"/>
      <c r="D85" s="323"/>
      <c r="E85" s="323"/>
      <c r="F85" s="323"/>
      <c r="G85" s="323"/>
      <c r="H85" s="321">
        <f>+IF(H$10&lt;0,0,H$10*$B$79)/12*H$31</f>
      </c>
    </row>
    <row x14ac:dyDescent="0.25" r="86" customHeight="1" ht="18.75" hidden="1">
      <c r="A86" s="316" t="s">
        <v>275</v>
      </c>
      <c r="B86" s="317">
        <f>+C63</f>
      </c>
      <c r="C86" s="318">
        <f>SUM(C87:C92)</f>
      </c>
      <c r="D86" s="318">
        <f>SUM(D87:D92)</f>
      </c>
      <c r="E86" s="318">
        <f>SUM(E87:E92)</f>
      </c>
      <c r="F86" s="318">
        <f>SUM(F87:F92)</f>
      </c>
      <c r="G86" s="318">
        <f>SUM(G87:G92)</f>
      </c>
      <c r="H86" s="318">
        <f>SUM(H87:H92)</f>
      </c>
    </row>
    <row x14ac:dyDescent="0.25" r="87" customHeight="1" ht="18.75" hidden="1">
      <c r="A87" s="319">
        <f>A80</f>
      </c>
      <c r="B87" s="320"/>
      <c r="C87" s="321">
        <f>+IF(C$11&lt;0,0,C$11*$B$86)/12*$C$31</f>
      </c>
      <c r="D87" s="322">
        <f>+IF(AND(C87&gt;0,C11&gt;0),+IF(ROUNDUP(SUM($C87:C87),0)&lt;C11,+C11*$B86*(C$31/12)),C11*$B86*(D$31/12))</f>
      </c>
      <c r="E87" s="323">
        <f>+IF(D87=0,0,+IF(ROUNDUP(SUM($C87:D87),0)&lt;$C$11,MIN(($C$11-SUM($C87:D87)),$C$11*$B$86),0))</f>
      </c>
      <c r="F87" s="323">
        <f>+IF(E87=0,0,+IF(ROUNDUP(SUM($C87:E87),0)&lt;$C$11,MIN(($C$11-SUM($C87:E87)),$C$11*$B$86),0))</f>
      </c>
      <c r="G87" s="323">
        <f>+IF(F87=0,0,+IF(ROUNDUP(SUM($C87:F87),0)&lt;$C$11,MIN(($C$11-SUM($C87:F87)),$C$11*$B$86),0))</f>
      </c>
      <c r="H87" s="323">
        <f>+IF(G87=0,0,+IF(ROUNDUP(SUM($C87:G87),0)&lt;$C$11,MIN(($C$11-SUM($C87:G87)),$C$11*$B$86),0))</f>
      </c>
    </row>
    <row x14ac:dyDescent="0.25" r="88" customHeight="1" ht="18.75" hidden="1">
      <c r="A88" s="319">
        <f>A81</f>
      </c>
      <c r="B88" s="320"/>
      <c r="C88" s="323"/>
      <c r="D88" s="321">
        <f>+IF(D$11&lt;0,0,D$11*$B$86)/12*$C$31</f>
      </c>
      <c r="E88" s="323">
        <f>+IF(D88=0,0,+IF(ROUNDUP(SUM($D88:D88),0)&lt;$D$11,MIN(($D$11-SUM($D88:D88)),$D$11*$B$86),0))</f>
      </c>
      <c r="F88" s="323">
        <f>+IF(E88=0,0,+IF(ROUNDUP(SUM($D88:E88),0)&lt;$D$11,MIN(($D$11-SUM($D88:E88)),$D$11*$B$86),0))</f>
      </c>
      <c r="G88" s="323">
        <f>+IF(F88=0,0,+IF(ROUNDUP(SUM($D88:F88),0)&lt;$D$11,MIN(($D$11-SUM($D88:F88)),$D$11*$B$86),0))</f>
      </c>
      <c r="H88" s="323">
        <f>+IF(G88=0,0,+IF(ROUNDUP(SUM($D88:G88),0)&lt;$D$11,MIN(($D$11-SUM($D88:G88)),$D$11*$B$86),0))</f>
      </c>
    </row>
    <row x14ac:dyDescent="0.25" r="89" customHeight="1" ht="18.75" hidden="1">
      <c r="A89" s="319">
        <f>A82</f>
      </c>
      <c r="B89" s="320"/>
      <c r="C89" s="323"/>
      <c r="D89" s="323"/>
      <c r="E89" s="321">
        <f>+IF(E$11&lt;0,0,E$11*$B$86)/12*$C$31</f>
      </c>
      <c r="F89" s="323">
        <f>+IF(E89=0,0,+IF(ROUNDUP(SUM($E89:E89),0)&lt;$E$11,MIN(($E$11-SUM($E89:E89)),$E$11*$B$86),0))</f>
      </c>
      <c r="G89" s="323">
        <f>+IF(F89=0,0,+IF(ROUNDUP(SUM($E89:F89),0)&lt;$E$11,MIN(($E$11-SUM($E89:F89)),$E$11*$B$86),0))</f>
      </c>
      <c r="H89" s="323">
        <f>+IF(G89=0,0,+IF(ROUNDUP(SUM($E89:G89),0)&lt;$E$11,MIN(($E$11-SUM($E89:G89)),$E$11*$B$86),0))</f>
      </c>
    </row>
    <row x14ac:dyDescent="0.25" r="90" customHeight="1" ht="18.75" hidden="1">
      <c r="A90" s="319">
        <f>A83</f>
      </c>
      <c r="B90" s="320"/>
      <c r="C90" s="323"/>
      <c r="D90" s="323"/>
      <c r="E90" s="323"/>
      <c r="F90" s="321">
        <f>+IF(F$11&lt;0,0,F$11*$B$86)/12*$C$31</f>
      </c>
      <c r="G90" s="323">
        <f>+IF(F90=0,0,+IF(ROUNDUP(SUM($F90:F90),0)&lt;$F$11,MIN(($F$11-SUM($F90:F90)),$F$11*$B$86),0))</f>
      </c>
      <c r="H90" s="323">
        <f>+IF(G90=0,0,+IF(ROUNDUP(SUM($F90:G90),0)&lt;$F$11,MIN(($F$11-SUM($F90:G90)),$F$11*$B$86),0))</f>
      </c>
    </row>
    <row x14ac:dyDescent="0.25" r="91" customHeight="1" ht="18.75" hidden="1">
      <c r="A91" s="319">
        <f>A84</f>
      </c>
      <c r="B91" s="320"/>
      <c r="C91" s="323"/>
      <c r="D91" s="323"/>
      <c r="E91" s="323"/>
      <c r="F91" s="323"/>
      <c r="G91" s="321">
        <f>+IF(G$11&lt;0,0,G$11*$B$86)/12*$C$31</f>
      </c>
      <c r="H91" s="323">
        <f>+IF(G91=0,0,+IF(ROUNDUP(SUM($G91:G91),0)&lt;$G$11,MIN(($G$11-SUM($G91:G91)),$G$11*$B$86),0))</f>
      </c>
    </row>
    <row x14ac:dyDescent="0.25" r="92" customHeight="1" ht="18.75" hidden="1">
      <c r="A92" s="319">
        <f>A85</f>
      </c>
      <c r="B92" s="320"/>
      <c r="C92" s="323"/>
      <c r="D92" s="323"/>
      <c r="E92" s="323"/>
      <c r="F92" s="323"/>
      <c r="G92" s="323"/>
      <c r="H92" s="321">
        <f>+IF(H$11&lt;0,0,H$11*$B$86)/12*$C$31</f>
      </c>
    </row>
    <row x14ac:dyDescent="0.25" r="93" customHeight="1" ht="18.75" hidden="1">
      <c r="A93" s="324" t="s">
        <v>24</v>
      </c>
      <c r="B93" s="324"/>
      <c r="C93" s="325">
        <f>+C79+C86</f>
      </c>
      <c r="D93" s="325">
        <f>+D79+D86</f>
      </c>
      <c r="E93" s="325">
        <f>+E79+E86</f>
      </c>
      <c r="F93" s="325">
        <f>+F79+F86</f>
      </c>
      <c r="G93" s="325">
        <f>+G79+G86</f>
      </c>
      <c r="H93" s="325">
        <f>+H79+H86</f>
      </c>
    </row>
    <row x14ac:dyDescent="0.25" r="94" customHeight="1" ht="18.75" hidden="1">
      <c r="A94" s="324" t="s">
        <v>276</v>
      </c>
      <c r="B94" s="326"/>
      <c r="C94" s="327"/>
      <c r="D94" s="327"/>
      <c r="E94" s="327"/>
      <c r="F94" s="327"/>
      <c r="G94" s="327"/>
      <c r="H94" s="327"/>
    </row>
    <row x14ac:dyDescent="0.25" r="95" customHeight="1" ht="18.75" hidden="1">
      <c r="A95" s="328" t="s">
        <v>277</v>
      </c>
      <c r="B95" s="317">
        <f>+C65</f>
      </c>
      <c r="C95" s="318">
        <f>SUM(C96:C101)</f>
      </c>
      <c r="D95" s="318">
        <f>SUM(D96:D101)</f>
      </c>
      <c r="E95" s="318">
        <f>SUM(E96:E101)</f>
      </c>
      <c r="F95" s="318">
        <f>SUM(F96:F101)</f>
      </c>
      <c r="G95" s="318">
        <f>SUM(G96:G101)</f>
      </c>
      <c r="H95" s="318">
        <f>SUM(H96:H101)</f>
      </c>
    </row>
    <row x14ac:dyDescent="0.25" r="96" customHeight="1" ht="18.75" hidden="1">
      <c r="A96" s="319">
        <f>A87</f>
      </c>
      <c r="B96" s="320"/>
      <c r="C96" s="321">
        <f>+IF(C$15&lt;0,0,C$15*$B$95)/12*C$31</f>
      </c>
      <c r="D96" s="322">
        <f>+IF(AND(C96&gt;0,C15&gt;0),+IF(ROUNDUP(SUM($C96:C96),0)&lt;C15,+C15*$B95*(C$31/12)),C15*$B95*(D$31/12))</f>
      </c>
      <c r="E96" s="323">
        <f>+IF(D96=0,0,+IF(ROUNDUP(SUM($C96:D96),0)&lt;$C$15,MIN(($C$15-SUM($C96:D96)),$C$15*$B$95),0))</f>
      </c>
      <c r="F96" s="323">
        <f>+IF(E96=0,0,+IF(ROUNDUP(SUM($C96:E96),0)&lt;$C$15,MIN(($C$15-SUM($C96:E96)),$C$15*$B$95),0))</f>
      </c>
      <c r="G96" s="323">
        <f>+IF(F96=0,0,+IF(ROUNDUP(SUM($C96:F96),0)&lt;$C$15,MIN(($C$15-SUM($C96:F96)),$C$15*$B$95),0))</f>
      </c>
      <c r="H96" s="323">
        <f>+IF(G96=0,0,+IF(ROUNDUP(SUM($C96:G96),0)&lt;$C$15,MIN(($C$15-SUM($C96:G96)),$C$15*$B$95),0))</f>
      </c>
    </row>
    <row x14ac:dyDescent="0.25" r="97" customHeight="1" ht="18.75" hidden="1">
      <c r="A97" s="319">
        <f>A88</f>
      </c>
      <c r="B97" s="320"/>
      <c r="C97" s="323"/>
      <c r="D97" s="321">
        <f>+IF(D$15&lt;0,0,D$15*$B$95)/12*D$31</f>
      </c>
      <c r="E97" s="323">
        <f>+IF(D97=0,0,+IF(ROUNDUP(SUM($D97:D97),0)&lt;$D$15,MIN(($D$15-SUM($D97:D97)),$D$15*$B$95),0))</f>
      </c>
      <c r="F97" s="323">
        <f>+IF(E97=0,0,+IF(ROUNDUP(SUM($D97:E97),0)&lt;$D$15,MIN(($D$15-SUM($D97:E97)),$D$15*$B$95),0))</f>
      </c>
      <c r="G97" s="323">
        <f>+IF(F97=0,0,+IF(ROUNDUP(SUM($D97:F97),0)&lt;$D$15,MIN(($D$15-SUM($D97:F97)),$D$15*$B$95),0))</f>
      </c>
      <c r="H97" s="323">
        <f>+IF(G97=0,0,+IF(ROUNDUP(SUM($D97:G97),0)&lt;$D$15,MIN(($D$15-SUM($D97:G97)),$D$15*$B$95),0))</f>
      </c>
    </row>
    <row x14ac:dyDescent="0.25" r="98" customHeight="1" ht="18.75" hidden="1">
      <c r="A98" s="319">
        <f>A89</f>
      </c>
      <c r="B98" s="320"/>
      <c r="C98" s="323"/>
      <c r="D98" s="323"/>
      <c r="E98" s="321">
        <f>+IF(E$15&lt;0,0,E$15*$B$95)/12*E$31</f>
      </c>
      <c r="F98" s="323">
        <f>+IF(E98=0,0,+IF(ROUNDUP(SUM($E98:E98),0)&lt;$E$15,MIN(($E$15-SUM($E98:E98)),$E$15*$B$95),0))</f>
      </c>
      <c r="G98" s="323">
        <f>+IF(F98=0,0,+IF(ROUNDUP(SUM($E98:F98),0)&lt;$E$15,MIN(($E$15-SUM($E98:F98)),$E$15*$B$95),0))</f>
      </c>
      <c r="H98" s="323">
        <f>+IF(G98=0,0,+IF(ROUNDUP(SUM($E98:G98),0)&lt;$E$15,MIN(($E$15-SUM($E98:G98)),$E$15*$B$95),0))</f>
      </c>
    </row>
    <row x14ac:dyDescent="0.25" r="99" customHeight="1" ht="18.75" hidden="1">
      <c r="A99" s="319">
        <f>A90</f>
      </c>
      <c r="B99" s="320"/>
      <c r="C99" s="323"/>
      <c r="D99" s="323"/>
      <c r="E99" s="323"/>
      <c r="F99" s="321">
        <f>+IF(F$15&lt;0,0,F$15*$B$95)/12*F$31</f>
      </c>
      <c r="G99" s="323">
        <f>+IF(F99=0,0,+IF(ROUNDUP(SUM($F99:F99),0)&lt;$F$15,MIN(($F$15-SUM($F99:F99)),$F$15*$B$95),0))</f>
      </c>
      <c r="H99" s="323">
        <f>+IF(G99=0,0,+IF(ROUNDUP(SUM($F99:G99),0)&lt;$F$15,MIN(($F$15-SUM($F99:G99)),$F$15*$B$95),0))</f>
      </c>
    </row>
    <row x14ac:dyDescent="0.25" r="100" customHeight="1" ht="18.75" hidden="1">
      <c r="A100" s="319">
        <f>A91</f>
      </c>
      <c r="B100" s="320"/>
      <c r="C100" s="323"/>
      <c r="D100" s="323"/>
      <c r="E100" s="323"/>
      <c r="F100" s="323"/>
      <c r="G100" s="321">
        <f>+IF(G$15&lt;0,0,G$15*$B$95)/12*G$31</f>
      </c>
      <c r="H100" s="323">
        <f>+IF(G100=0,0,+IF(ROUNDUP(SUM($G100:G100),0)&lt;$G$15,MIN(($G$15-SUM($G100:G100)),$G$15*$B$95),0))</f>
      </c>
    </row>
    <row x14ac:dyDescent="0.25" r="101" customHeight="1" ht="18.75" hidden="1">
      <c r="A101" s="319">
        <f>A92</f>
      </c>
      <c r="B101" s="320"/>
      <c r="C101" s="323"/>
      <c r="D101" s="323"/>
      <c r="E101" s="323"/>
      <c r="F101" s="323"/>
      <c r="G101" s="323"/>
      <c r="H101" s="321">
        <f>+IF(H$15&lt;0,0,H$15*$B$95)/12*H$31</f>
      </c>
    </row>
    <row x14ac:dyDescent="0.25" r="102" customHeight="1" ht="18.75" hidden="1">
      <c r="A102" s="328" t="s">
        <v>278</v>
      </c>
      <c r="B102" s="317">
        <f>+C66</f>
      </c>
      <c r="C102" s="318">
        <f>SUM(C103:C108)</f>
      </c>
      <c r="D102" s="318">
        <f>SUM(D103:D108)</f>
      </c>
      <c r="E102" s="318">
        <f>SUM(E103:E108)</f>
      </c>
      <c r="F102" s="318">
        <f>SUM(F103:F108)</f>
      </c>
      <c r="G102" s="318">
        <f>SUM(G103:G108)</f>
      </c>
      <c r="H102" s="318">
        <f>SUM(H103:H108)</f>
      </c>
    </row>
    <row x14ac:dyDescent="0.25" r="103" customHeight="1" ht="18.75" hidden="1">
      <c r="A103" s="319">
        <f>A96</f>
      </c>
      <c r="B103" s="320"/>
      <c r="C103" s="321">
        <f>+IF(C$16&lt;0,0,C$16*$B$102)/12*C$31</f>
      </c>
      <c r="D103" s="322">
        <f>+IF(AND(C103&gt;0,C16&gt;0),+IF(ROUNDUP(SUM($C103:C103),0)&lt;C16,+C16*$B102*(C$31/12)),C16*$B102*(D$31/12))</f>
      </c>
      <c r="E103" s="323">
        <f>+IF(D103=0,0,+IF(ROUNDUP(SUM($C103:D103),0)&lt;$C$16,MIN(($C$16-SUM($C103:D103)),+$C$16*$B$102),0))</f>
      </c>
      <c r="F103" s="323">
        <f>+IF(E103=0,0,+IF(ROUNDUP(SUM($C103:E103),0)&lt;$C$16,MIN(($C$16-SUM($C103:E103)),+$C$16*$B$102),0))</f>
      </c>
      <c r="G103" s="323">
        <f>+IF(F103=0,0,+IF(ROUNDUP(SUM($C103:F103),0)&lt;$C$16,MIN(($C$16-SUM($C103:F103)),+$C$16*$B$102),0))</f>
      </c>
      <c r="H103" s="323">
        <f>+IF(G103=0,0,+IF(ROUNDUP(SUM($C103:G103),0)&lt;$C$16,MIN(($C$16-SUM($C103:G103)),+$C$16*$B$102),0))</f>
      </c>
    </row>
    <row x14ac:dyDescent="0.25" r="104" customHeight="1" ht="18.75" hidden="1">
      <c r="A104" s="319">
        <f>A97</f>
      </c>
      <c r="B104" s="320"/>
      <c r="C104" s="323"/>
      <c r="D104" s="321">
        <f>+IF(D$16&lt;0,0,D$16*$B$102)/12*D$31</f>
      </c>
      <c r="E104" s="323">
        <f>+IF(D104=0,0,+IF(ROUNDUP(SUM($D104:D104),0)&lt;$D$16,MIN(($D$16-SUM($D104:D104)),+$D$16*$B$102),0))</f>
      </c>
      <c r="F104" s="323">
        <f>+IF(E104=0,0,+IF(ROUNDUP(SUM($D104:E104),0)&lt;$D$16,MIN(($D$16-SUM($D104:E104)),+$D$16*$B$102),0))</f>
      </c>
      <c r="G104" s="323">
        <f>+IF(F104=0,0,+IF(ROUNDUP(SUM($D104:F104),0)&lt;$D$16,MIN(($D$16-SUM($D104:F104)),+$D$16*$B$102),0))</f>
      </c>
      <c r="H104" s="323">
        <f>+IF(G104=0,0,+IF(ROUNDUP(SUM($D104:G104),0)&lt;$D$16,MIN(($D$16-SUM($D104:G104)),+$D$16*$B$102),0))</f>
      </c>
    </row>
    <row x14ac:dyDescent="0.25" r="105" customHeight="1" ht="18.75" hidden="1">
      <c r="A105" s="319">
        <f>A98</f>
      </c>
      <c r="B105" s="320"/>
      <c r="C105" s="323"/>
      <c r="D105" s="323"/>
      <c r="E105" s="321">
        <f>+IF(E$16&lt;0,0,E$16*$B$102)/12*E$31</f>
      </c>
      <c r="F105" s="323">
        <f>+IF(E105=0,0,+IF(ROUNDUP(SUM($E105:E105),0)&lt;$E$16,MIN(($E$16-SUM($E105:E105)),+$E$16*$B$102),0))</f>
      </c>
      <c r="G105" s="323">
        <f>+IF(F105=0,0,+IF(ROUNDUP(SUM($E105:F105),0)&lt;$E$16,MIN(($E$16-SUM($E105:F105)),+$E$16*$B$102),0))</f>
      </c>
      <c r="H105" s="323">
        <f>+IF(G105=0,0,+IF(ROUNDUP(SUM($E105:G105),0)&lt;$E$16,MIN(($E$16-SUM($E105:G105)),+$E$16*$B$102),0))</f>
      </c>
    </row>
    <row x14ac:dyDescent="0.25" r="106" customHeight="1" ht="18.75" hidden="1">
      <c r="A106" s="319">
        <f>A99</f>
      </c>
      <c r="B106" s="320"/>
      <c r="C106" s="323"/>
      <c r="D106" s="323"/>
      <c r="E106" s="323"/>
      <c r="F106" s="321">
        <f>+IF(F$16&lt;0,0,F$16*$B$102)/12*F$31</f>
      </c>
      <c r="G106" s="323">
        <f>+IF(F106=0,0,+IF(ROUNDUP(SUM($F106:F106),0)&lt;$F$16,MIN(($F$16-SUM($F106:F106)),+$F$16*$B$102),0))</f>
      </c>
      <c r="H106" s="323">
        <f>+IF(G106=0,0,+IF(ROUNDUP(SUM($F106:G106),0)&lt;$F$16,MIN(($F$16-SUM($F106:G106)),+$F$16*$B$102),0))</f>
      </c>
    </row>
    <row x14ac:dyDescent="0.25" r="107" customHeight="1" ht="18.75" hidden="1">
      <c r="A107" s="319">
        <f>A100</f>
      </c>
      <c r="B107" s="320"/>
      <c r="C107" s="323"/>
      <c r="D107" s="323"/>
      <c r="E107" s="323"/>
      <c r="F107" s="323"/>
      <c r="G107" s="321">
        <f>+IF(G$16&lt;0,0,G$16*$B$102)/12*G$31</f>
      </c>
      <c r="H107" s="323">
        <f>+IF(G107=0,0,+IF(ROUNDUP(SUM($G107:G107),0)&lt;$G$16,MIN(($G$16-SUM($G107:G107)),+$G$16*$B$102),0))</f>
      </c>
    </row>
    <row x14ac:dyDescent="0.25" r="108" customHeight="1" ht="18.75" hidden="1">
      <c r="A108" s="319">
        <f>A101</f>
      </c>
      <c r="B108" s="320"/>
      <c r="C108" s="323"/>
      <c r="D108" s="323"/>
      <c r="E108" s="323"/>
      <c r="F108" s="323"/>
      <c r="G108" s="323"/>
      <c r="H108" s="321">
        <f>+IF(H$16&lt;0,0,H$16*$B$102)/12*H$31</f>
      </c>
    </row>
    <row x14ac:dyDescent="0.25" r="109" customHeight="1" ht="18.75" hidden="1">
      <c r="A109" s="328" t="s">
        <v>279</v>
      </c>
      <c r="B109" s="317">
        <f>+C67</f>
      </c>
      <c r="C109" s="318">
        <f>SUM(C110:C115)</f>
      </c>
      <c r="D109" s="318">
        <f>SUM(D110:D115)</f>
      </c>
      <c r="E109" s="318">
        <f>SUM(E110:E115)</f>
      </c>
      <c r="F109" s="318">
        <f>SUM(F110:F115)</f>
      </c>
      <c r="G109" s="318">
        <f>SUM(G110:G115)</f>
      </c>
      <c r="H109" s="318">
        <f>SUM(H110:H115)</f>
      </c>
    </row>
    <row x14ac:dyDescent="0.25" r="110" customHeight="1" ht="18.75" hidden="1">
      <c r="A110" s="319">
        <f>A103</f>
      </c>
      <c r="B110" s="320"/>
      <c r="C110" s="329">
        <f>+IF(C$17&lt;0,0,C$17*$B$109)/12*C$31</f>
      </c>
      <c r="D110" s="322">
        <f>+IF(AND(C110&gt;0,C17&gt;0),+IF(ROUNDUP(SUM($C110:C110),0)&lt;C17,+C17*$B109*(C$31/12)),C17*$B109*(D$31/12))</f>
      </c>
      <c r="E110" s="323">
        <f>+IF(D110=0,0,+IF(ROUNDUP(SUM($C110:D110),0)&lt;$C$17,MIN(($C$17-SUM($C110:D110)),+$C$17*$B$109),0))</f>
      </c>
      <c r="F110" s="323">
        <f>+IF(E110=0,0,+IF(ROUNDUP(SUM($C110:E110),0)&lt;$C$17,MIN(($C$17-SUM($C110:E110)),+$C$17*$B$109),0))</f>
      </c>
      <c r="G110" s="323">
        <f>+IF(F110=0,0,+IF(ROUNDUP(SUM($C110:F110),0)&lt;$C$17,MIN(($C$17-SUM($C110:F110)),+$C$17*$B$109),0))</f>
      </c>
      <c r="H110" s="323">
        <f>+IF(G110=0,0,+IF(ROUNDUP(SUM($C110:G110),0)&lt;$C$17,MIN(($C$17-SUM($C110:G110)),+$C$17*$B$109),0))</f>
      </c>
    </row>
    <row x14ac:dyDescent="0.25" r="111" customHeight="1" ht="18.75" hidden="1">
      <c r="A111" s="319">
        <f>A104</f>
      </c>
      <c r="B111" s="320"/>
      <c r="C111" s="323"/>
      <c r="D111" s="329">
        <f>+IF(D$17&lt;0,0,D$17*$B$109)/12*D$31</f>
      </c>
      <c r="E111" s="323">
        <f>+IF(D111=0,0,+IF(ROUNDUP(SUM($D111:D111),0)&lt;$D$17,MIN(($D$17-SUM($D111:D111)),+$D$17*$B$109),0))</f>
      </c>
      <c r="F111" s="323">
        <f>+IF(E111=0,0,+IF(ROUNDUP(SUM($D111:E111),0)&lt;$D$17,MIN(($D$17-SUM($D111:E111)),+$D$17*$B$109),0))</f>
      </c>
      <c r="G111" s="323">
        <f>+IF(F111=0,0,+IF(ROUNDUP(SUM($D111:F111),0)&lt;$D$17,MIN(($D$17-SUM($D111:F111)),+$D$17*$B$109),0))</f>
      </c>
      <c r="H111" s="323">
        <f>+IF(G111=0,0,+IF(ROUNDUP(SUM($D111:G111),0)&lt;$D$17,MIN(($D$17-SUM($D111:G111)),+$D$17*$B$109),0))</f>
      </c>
    </row>
    <row x14ac:dyDescent="0.25" r="112" customHeight="1" ht="18.75" hidden="1">
      <c r="A112" s="319">
        <f>A105</f>
      </c>
      <c r="B112" s="320"/>
      <c r="C112" s="323"/>
      <c r="D112" s="323"/>
      <c r="E112" s="329">
        <f>+IF(E$17&lt;0,0,E$17*$B$109)/12*E$31</f>
      </c>
      <c r="F112" s="323">
        <f>+IF(E112=0,0,+IF(ROUNDUP(SUM($E112:E112),0)&lt;$E$17,MIN(($E$17-SUM($E112:E112)),+$E$17*$B$109),0))</f>
      </c>
      <c r="G112" s="323">
        <f>+IF(F112=0,0,+IF(ROUNDUP(SUM($E112:F112),0)&lt;$E$17,MIN(($E$17-SUM($E112:F112)),+$E$17*$B$109),0))</f>
      </c>
      <c r="H112" s="323">
        <f>+IF(G112=0,0,+IF(ROUNDUP(SUM($E112:G112),0)&lt;$E$17,MIN(($E$17-SUM($E112:G112)),+$E$17*$B$109),0))</f>
      </c>
    </row>
    <row x14ac:dyDescent="0.25" r="113" customHeight="1" ht="18.75" hidden="1">
      <c r="A113" s="319">
        <f>A106</f>
      </c>
      <c r="B113" s="320"/>
      <c r="C113" s="323"/>
      <c r="D113" s="323"/>
      <c r="E113" s="323"/>
      <c r="F113" s="329">
        <f>+IF(F$17&lt;0,0,F$17*$B$109)/12*F$31</f>
      </c>
      <c r="G113" s="323">
        <f>+IF(F113=0,0,+IF(ROUNDUP(SUM($F113:F113),0)&lt;$F$17,MIN(($F$17-SUM($F113:F113)),+$F$17*$B$109),0))</f>
      </c>
      <c r="H113" s="323">
        <f>+IF(G113=0,0,+IF(ROUNDUP(SUM($F113:G113),0)&lt;$F$17,MIN(($F$17-SUM($F113:G113)),+$F$17*$B$109),0))</f>
      </c>
    </row>
    <row x14ac:dyDescent="0.25" r="114" customHeight="1" ht="18.75" hidden="1">
      <c r="A114" s="319">
        <f>A107</f>
      </c>
      <c r="B114" s="320"/>
      <c r="C114" s="323"/>
      <c r="D114" s="323"/>
      <c r="E114" s="323"/>
      <c r="F114" s="323"/>
      <c r="G114" s="329">
        <f>+IF(G$17&lt;0,0,G$17*$B$109)/12*G$31</f>
      </c>
      <c r="H114" s="323">
        <f>+IF(G114=0,0,+IF(ROUNDUP(SUM($G114:G114),0)&lt;$G$17,MIN(($G$17-SUM($G114:G114)),+$G$17*$B$109),0))</f>
      </c>
    </row>
    <row x14ac:dyDescent="0.25" r="115" customHeight="1" ht="18.75" hidden="1">
      <c r="A115" s="319">
        <f>A108</f>
      </c>
      <c r="B115" s="320"/>
      <c r="C115" s="323"/>
      <c r="D115" s="323"/>
      <c r="E115" s="323"/>
      <c r="F115" s="323"/>
      <c r="G115" s="323"/>
      <c r="H115" s="329">
        <f>+IF(H$17&lt;0,0,H$17*$B$109)/12*H$31</f>
      </c>
    </row>
    <row x14ac:dyDescent="0.25" r="116" customHeight="1" ht="18.75" hidden="1">
      <c r="A116" s="328" t="s">
        <v>280</v>
      </c>
      <c r="B116" s="317">
        <f>+C68</f>
      </c>
      <c r="C116" s="318">
        <f>SUM(C117:C122)</f>
      </c>
      <c r="D116" s="318">
        <f>SUM(D117:D122)</f>
      </c>
      <c r="E116" s="318">
        <f>SUM(E117:E122)</f>
      </c>
      <c r="F116" s="318">
        <f>SUM(F117:F122)</f>
      </c>
      <c r="G116" s="318">
        <f>SUM(G117:G122)</f>
      </c>
      <c r="H116" s="318">
        <f>SUM(H117:H122)</f>
      </c>
    </row>
    <row x14ac:dyDescent="0.25" r="117" customHeight="1" ht="18.75" hidden="1">
      <c r="A117" s="319">
        <f>A110</f>
      </c>
      <c r="B117" s="320"/>
      <c r="C117" s="329">
        <f>+IF(C$18&lt;0,0,C$18*$B$116)/12*C$31</f>
      </c>
      <c r="D117" s="322">
        <f>+IF(AND(C117&gt;0,C18&gt;0),+IF(ROUNDUP(SUM($C117:C117),0)&lt;C18,+C18*$B116*(C$31/12)),C18*$B116*(D$31/12))</f>
      </c>
      <c r="E117" s="323">
        <f>+IF(D117=0,0,+IF(ROUNDUP(SUM($C117:D117),0)&lt;$C18,MIN(($C18-SUM($C117:D117)),+$C18*$B$116),0))</f>
      </c>
      <c r="F117" s="323">
        <f>+IF(E117=0,0,+IF(ROUNDUP(SUM($C117:E117),0)&lt;$C18,MIN(($C18-SUM($C117:E117)),+$C18*$B$116),0))</f>
      </c>
      <c r="G117" s="323">
        <f>+IF(F117=0,0,+IF(ROUNDUP(SUM($C117:F117),0)&lt;$C18,MIN(($C18-SUM($C117:F117)),+$C18*$B$116),0))</f>
      </c>
      <c r="H117" s="323">
        <f>+IF(G117=0,0,+IF(ROUNDUP(SUM($C117:G117),0)&lt;$C18,MIN(($C18-SUM($C117:G117)),+$C18*$B$116),0))</f>
      </c>
    </row>
    <row x14ac:dyDescent="0.25" r="118" customHeight="1" ht="18.75" hidden="1">
      <c r="A118" s="319">
        <f>A111</f>
      </c>
      <c r="B118" s="320"/>
      <c r="C118" s="323"/>
      <c r="D118" s="329">
        <f>+IF(D$18&lt;0,0,D$18*$B$116)/12*D$31</f>
      </c>
      <c r="E118" s="323">
        <f>+IF(D118=0,0,+IF(ROUNDUP(SUM($D118:D118),0)&lt;$D18,MIN(($D18-SUM($D118:D118)),+$D18*$B$116),0))</f>
      </c>
      <c r="F118" s="323">
        <f>+IF(E118=0,0,+IF(ROUNDUP(SUM($D118:E118),0)&lt;$D18,MIN(($D18-SUM($D118:E118)),+$D18*$B$116),0))</f>
      </c>
      <c r="G118" s="323">
        <f>+IF(F118=0,0,+IF(ROUNDUP(SUM($D118:F118),0)&lt;$D18,MIN(($D18-SUM($D118:F118)),+$D18*$B$116),0))</f>
      </c>
      <c r="H118" s="323">
        <f>+IF(G118=0,0,+IF(ROUNDUP(SUM($D118:G118),0)&lt;$D18,MIN(($D18-SUM($D118:G118)),+$D18*$B$116),0))</f>
      </c>
    </row>
    <row x14ac:dyDescent="0.25" r="119" customHeight="1" ht="18.75" hidden="1">
      <c r="A119" s="319">
        <f>A112</f>
      </c>
      <c r="B119" s="320"/>
      <c r="C119" s="323"/>
      <c r="D119" s="323"/>
      <c r="E119" s="329">
        <f>+IF(E$18&lt;0,0,E$18*$B$116)/12*E$31</f>
      </c>
      <c r="F119" s="323">
        <f>+IF(E119=0,0,+IF(ROUNDUP(SUM($E119:E119),0)&lt;$E$18,MIN(($E$18-SUM($E119:E119)),+$E$18*$B$116),0))</f>
      </c>
      <c r="G119" s="323">
        <f>+IF(F119=0,0,+IF(ROUNDUP(SUM($E119:F119),0)&lt;$E$18,MIN(($E$18-SUM($E119:F119)),+$E$18*$B$116),0))</f>
      </c>
      <c r="H119" s="323">
        <f>+IF(G119=0,0,+IF(ROUNDUP(SUM($E119:G119),0)&lt;$E$18,MIN(($E$18-SUM($E119:G119)),+$E$18*$B$116),0))</f>
      </c>
    </row>
    <row x14ac:dyDescent="0.25" r="120" customHeight="1" ht="18.75" hidden="1">
      <c r="A120" s="319">
        <f>A113</f>
      </c>
      <c r="B120" s="320"/>
      <c r="C120" s="323"/>
      <c r="D120" s="323"/>
      <c r="E120" s="323"/>
      <c r="F120" s="329">
        <f>+IF(F$18&lt;0,0,F$18*$B$116)/12*F$31</f>
      </c>
      <c r="G120" s="323">
        <f>+IF(F120=0,0,+IF(ROUNDUP(SUM($F120:F120),0)&lt;$F$18,MIN(($F$18-SUM($F120:F120)),+$F$18*$B$116),0))</f>
      </c>
      <c r="H120" s="323">
        <f>+IF(G120=0,0,+IF(ROUNDUP(SUM($F120:G120),0)&lt;$F$18,MIN(($F$18-SUM($F120:G120)),+$F$18*$B$116),0))</f>
      </c>
    </row>
    <row x14ac:dyDescent="0.25" r="121" customHeight="1" ht="18.75" hidden="1">
      <c r="A121" s="319">
        <f>A114</f>
      </c>
      <c r="B121" s="320"/>
      <c r="C121" s="323"/>
      <c r="D121" s="323"/>
      <c r="E121" s="323"/>
      <c r="F121" s="323"/>
      <c r="G121" s="329">
        <f>+IF(G$18&lt;0,0,G$18*$B$116)/12*G$31</f>
      </c>
      <c r="H121" s="323">
        <f>+IF(G121=0,0,+IF(ROUNDUP(SUM($G121:G121),0)&lt;$G$18,MIN(($G$18-SUM($G121:G121)),+$G$18*$B$116),0))</f>
      </c>
    </row>
    <row x14ac:dyDescent="0.25" r="122" customHeight="1" ht="18.75" hidden="1">
      <c r="A122" s="319">
        <f>A115</f>
      </c>
      <c r="B122" s="320"/>
      <c r="C122" s="323"/>
      <c r="D122" s="323"/>
      <c r="E122" s="323"/>
      <c r="F122" s="323"/>
      <c r="G122" s="323"/>
      <c r="H122" s="329">
        <f>+IF(H$18&lt;0,0,H$18*$B$116)/12*H$31</f>
      </c>
    </row>
    <row x14ac:dyDescent="0.25" r="123" customHeight="1" ht="18.75" hidden="1">
      <c r="A123" s="328" t="s">
        <v>281</v>
      </c>
      <c r="B123" s="317">
        <f>+C69</f>
      </c>
      <c r="C123" s="318">
        <f>SUM(C124:C129)</f>
      </c>
      <c r="D123" s="318">
        <f>SUM(D124:D129)</f>
      </c>
      <c r="E123" s="318">
        <f>SUM(E124:E129)</f>
      </c>
      <c r="F123" s="318">
        <f>SUM(F124:F129)</f>
      </c>
      <c r="G123" s="318">
        <f>SUM(G124:G129)</f>
      </c>
      <c r="H123" s="318">
        <f>SUM(H124:H129)</f>
      </c>
    </row>
    <row x14ac:dyDescent="0.25" r="124" customHeight="1" ht="18.75" hidden="1">
      <c r="A124" s="319">
        <f>A117</f>
      </c>
      <c r="B124" s="320"/>
      <c r="C124" s="329">
        <f>+IF(C$19&lt;0,0,C$19*$B$123)/12*C$31</f>
      </c>
      <c r="D124" s="322">
        <f>+IF(AND(C124&gt;0,C19&gt;0),+IF(ROUNDUP(SUM($C124:C124),0)&lt;C19,+C19*$B123*(C$31/12)),C19*$B123*(D$31/12))</f>
      </c>
      <c r="E124" s="323">
        <f>+IF(D124=0,0,+IF(ROUNDUP(SUM($C124:D124),0)&lt;$C$19,MIN(($C$19-SUM($C124:D124)),+$C$19*$B$123),0))</f>
      </c>
      <c r="F124" s="323">
        <f>+IF(E124=0,0,+IF(ROUNDUP(SUM($C124:E124),0)&lt;$C$19,MIN(($C$19-SUM($C124:E124)),+$C$19*$B$123),0))</f>
      </c>
      <c r="G124" s="323">
        <f>+IF(F124=0,0,+IF(ROUNDUP(SUM($C124:F124),0)&lt;$C$19,MIN(($C$19-SUM($C124:F124)),+$C$19*$B$123),0))</f>
      </c>
      <c r="H124" s="323">
        <f>+IF(G124=0,0,+IF(ROUNDUP(SUM($C124:G124),0)&lt;$C$19,MIN(($C$19-SUM($C124:G124)),+$C$19*$B$123),0))</f>
      </c>
    </row>
    <row x14ac:dyDescent="0.25" r="125" customHeight="1" ht="18.75" hidden="1">
      <c r="A125" s="319">
        <f>A118</f>
      </c>
      <c r="B125" s="320"/>
      <c r="C125" s="323"/>
      <c r="D125" s="329">
        <f>+IF(D$19&lt;0,0,D$19*$B$123)/12*D$31</f>
      </c>
      <c r="E125" s="323">
        <f>+IF(D125=0,0,+IF(ROUNDUP(SUM($D125:D125),0)&lt;$D$19,MIN(($D$19-SUM($D125:D125)),+$D$19*$B$123),0))</f>
      </c>
      <c r="F125" s="323">
        <f>+IF(E125=0,0,+IF(ROUNDUP(SUM($D125:E125),0)&lt;$D$19,MIN(($D$19-SUM($D125:E125)),+$D$19*$B$123),0))</f>
      </c>
      <c r="G125" s="323">
        <f>+IF(F125=0,0,+IF(ROUNDUP(SUM($D125:F125),0)&lt;$D$19,MIN(($D$19-SUM($D125:F125)),+$D$19*$B$123),0))</f>
      </c>
      <c r="H125" s="323">
        <f>+IF(G125=0,0,+IF(ROUNDUP(SUM($D125:G125),0)&lt;$D$19,MIN(($D$19-SUM($D125:G125)),+$D$19*$B$123),0))</f>
      </c>
    </row>
    <row x14ac:dyDescent="0.25" r="126" customHeight="1" ht="18.75" hidden="1">
      <c r="A126" s="319">
        <f>A119</f>
      </c>
      <c r="B126" s="320"/>
      <c r="C126" s="323"/>
      <c r="D126" s="323"/>
      <c r="E126" s="329">
        <f>+IF(E$19&lt;0,0,E$19*$B$123)/12*E$31</f>
      </c>
      <c r="F126" s="323">
        <f>+IF(E126=0,0,+IF(ROUNDUP(SUM($E126:E126),0)&lt;$E$19,MIN(($E$19-SUM($E126:E126)),+$E$19*$B$123),0))</f>
      </c>
      <c r="G126" s="323">
        <f>+IF(F126=0,0,+IF(ROUNDUP(SUM($E126:F126),0)&lt;$E$19,MIN(($E$19-SUM($E126:F126)),+$E$19*$B$123),0))</f>
      </c>
      <c r="H126" s="323">
        <f>+IF(G126=0,0,+IF(ROUNDUP(SUM($E126:G126),0)&lt;$E$19,MIN(($E$19-SUM($E126:G126)),+$E$19*$B$123),0))</f>
      </c>
    </row>
    <row x14ac:dyDescent="0.25" r="127" customHeight="1" ht="18.75" hidden="1">
      <c r="A127" s="319">
        <f>A120</f>
      </c>
      <c r="B127" s="320"/>
      <c r="C127" s="323"/>
      <c r="D127" s="323"/>
      <c r="E127" s="323"/>
      <c r="F127" s="329">
        <f>+IF(F$19&lt;0,0,F$19*$B$123)/12*F$31</f>
      </c>
      <c r="G127" s="323">
        <f>+IF(F127=0,0,+IF(ROUNDUP(SUM($F127:F127),0)&lt;$F$19,MIN(($F$19-SUM($F127:F127)),+$F$19*$B$123),0))</f>
      </c>
      <c r="H127" s="323">
        <f>+IF(G127=0,0,+IF(ROUNDUP(SUM($F127:G127),0)&lt;$F$19,MIN(($F$19-SUM($F127:G127)),+$F$19*$B$123),0))</f>
      </c>
    </row>
    <row x14ac:dyDescent="0.25" r="128" customHeight="1" ht="18.75" hidden="1">
      <c r="A128" s="319">
        <f>A121</f>
      </c>
      <c r="B128" s="320"/>
      <c r="C128" s="323"/>
      <c r="D128" s="323"/>
      <c r="E128" s="323"/>
      <c r="F128" s="323"/>
      <c r="G128" s="329">
        <f>+IF(G$19&lt;0,0,G$19*$B$123)/12*G$31</f>
      </c>
      <c r="H128" s="323">
        <f>+IF(G128=0,0,+IF(ROUNDUP(SUM($E128:G128),0)&lt;$E$19,MIN(($E$19-SUM($E128:G128)),+$G$19*$B$123),0))</f>
      </c>
    </row>
    <row x14ac:dyDescent="0.25" r="129" customHeight="1" ht="18.75" hidden="1">
      <c r="A129" s="319">
        <f>A122</f>
      </c>
      <c r="B129" s="320"/>
      <c r="C129" s="323"/>
      <c r="D129" s="323"/>
      <c r="E129" s="323"/>
      <c r="F129" s="323"/>
      <c r="G129" s="323"/>
      <c r="H129" s="329">
        <f>+IF(H$19&lt;0,0,H$19*$B$123)/12*H$31</f>
      </c>
    </row>
    <row x14ac:dyDescent="0.25" r="130" customHeight="1" ht="18.75" hidden="1">
      <c r="A130" s="328" t="s">
        <v>282</v>
      </c>
      <c r="B130" s="317">
        <f>+C70</f>
      </c>
      <c r="C130" s="318">
        <f>SUM(C131:C136)</f>
      </c>
      <c r="D130" s="318">
        <f>SUM(D131:D136)</f>
      </c>
      <c r="E130" s="318">
        <f>SUM(E131:E136)</f>
      </c>
      <c r="F130" s="318">
        <f>SUM(F131:F136)</f>
      </c>
      <c r="G130" s="318">
        <f>SUM(G131:G136)</f>
      </c>
      <c r="H130" s="318">
        <f>SUM(H131:H136)</f>
      </c>
    </row>
    <row x14ac:dyDescent="0.25" r="131" customHeight="1" ht="18.75" hidden="1">
      <c r="A131" s="319">
        <f>A124</f>
      </c>
      <c r="B131" s="320"/>
      <c r="C131" s="329">
        <f>+IF(C$20&lt;0,0,C$20*$B$130)/12*C$31</f>
      </c>
      <c r="D131" s="322">
        <f>+IF(AND(C131&gt;0,C20&gt;0),+IF(ROUNDUP(SUM($C131:C131),0)&lt;C20,+C20*$B130*(C$31/12)),C20*$B130*(D$31/12))</f>
      </c>
      <c r="E131" s="323">
        <f>+IF(D131=0,0,+IF(ROUNDUP(SUM($C131:D131),0)&lt;$C$20,MIN(($C$20-SUM($C131:D131)),+$C$20*$B$130),0))</f>
      </c>
      <c r="F131" s="323">
        <f>+IF(E131=0,0,+IF(ROUNDUP(SUM($C131:E131),0)&lt;$C$20,MIN(($C$20-SUM($C131:E131)),+$C$20*$B$130),0))</f>
      </c>
      <c r="G131" s="323">
        <f>+IF(F131=0,0,+IF(ROUNDUP(SUM($C131:F131),0)&lt;$C$20,MIN(($C$20-SUM($C131:F131)),+$C$20*$B$130),0))</f>
      </c>
      <c r="H131" s="323">
        <f>+IF(G131=0,0,+IF(ROUNDUP(SUM($C131:G131),0)&lt;$C$20,MIN(($C$20-SUM($C131:G131)),+$C$20*$B$130),0))</f>
      </c>
    </row>
    <row x14ac:dyDescent="0.25" r="132" customHeight="1" ht="18.75" hidden="1">
      <c r="A132" s="319">
        <f>A125</f>
      </c>
      <c r="B132" s="320"/>
      <c r="C132" s="323"/>
      <c r="D132" s="329">
        <f>+IF(D$20&lt;0,0,D$20*$B$130)/12*D$31</f>
      </c>
      <c r="E132" s="323">
        <f>+IF(D132=0,0,+IF(ROUNDUP(SUM($D132:D132),0)&lt;$D$20,MIN(($D$20-SUM($D132:D132)),+$D$20*$B$130),0))</f>
      </c>
      <c r="F132" s="323">
        <f>+IF(E132=0,0,+IF(ROUNDUP(SUM($D132:E132),0)&lt;$D$20,MIN(($D$20-SUM($D132:E132)),+$D$20*$B$130),0))</f>
      </c>
      <c r="G132" s="323">
        <f>+IF(F132=0,0,+IF(ROUNDUP(SUM($D132:F132),0)&lt;$D$20,MIN(($D$20-SUM($D132:F132)),+$D$20*$B$130),0))</f>
      </c>
      <c r="H132" s="323">
        <f>+IF(G132=0,0,+IF(ROUNDUP(SUM($D132:G132),0)&lt;$D$20,MIN(($D$20-SUM($D132:G132)),+$D$20*$B$130),0))</f>
      </c>
    </row>
    <row x14ac:dyDescent="0.25" r="133" customHeight="1" ht="18.75" hidden="1">
      <c r="A133" s="319">
        <f>A126</f>
      </c>
      <c r="B133" s="320"/>
      <c r="C133" s="323"/>
      <c r="D133" s="323"/>
      <c r="E133" s="329">
        <f>+IF(E$20&lt;0,0,E$20*$B$130)/12*E$31</f>
      </c>
      <c r="F133" s="323">
        <f>+IF(E133=0,0,+IF(ROUNDUP(SUM($E133:E133),0)&lt;$E$20,MIN(($E$20-SUM($E133:E133)),+$E$20*$B$130),0))</f>
      </c>
      <c r="G133" s="323">
        <f>+IF(F133=0,0,+IF(ROUNDUP(SUM($E133:F133),0)&lt;$E$20,MIN(($E$20-SUM($E133:F133)),+$E$20*$B$130),0))</f>
      </c>
      <c r="H133" s="323">
        <f>+IF(G133=0,0,+IF(ROUNDUP(SUM($E133:G133),0)&lt;$E$20,MIN(($E$20-SUM($E133:G133)),+$E$20*$B$130),0))</f>
      </c>
    </row>
    <row x14ac:dyDescent="0.25" r="134" customHeight="1" ht="18.75" hidden="1">
      <c r="A134" s="319">
        <f>A127</f>
      </c>
      <c r="B134" s="320"/>
      <c r="C134" s="323"/>
      <c r="D134" s="323"/>
      <c r="E134" s="323"/>
      <c r="F134" s="329">
        <f>+IF(F$20&lt;0,0,F$20*$B$130)/12*F$31</f>
      </c>
      <c r="G134" s="323">
        <f>+IF(F134=0,0,+IF(ROUNDUP(SUM($F134:F134),0)&lt;$F$20,MIN(($F$20-SUM($F134:F134)),+$F$20*$B$130),0))</f>
      </c>
      <c r="H134" s="323">
        <f>+IF(G134=0,0,+IF(ROUNDUP(SUM($F134:G134),0)&lt;$F$20,MIN(($F$20-SUM($F134:G134)),+$F$20*$B$130),0))</f>
      </c>
    </row>
    <row x14ac:dyDescent="0.25" r="135" customHeight="1" ht="18.75" hidden="1">
      <c r="A135" s="319">
        <f>A128</f>
      </c>
      <c r="B135" s="320"/>
      <c r="C135" s="323"/>
      <c r="D135" s="323"/>
      <c r="E135" s="323"/>
      <c r="F135" s="323"/>
      <c r="G135" s="329">
        <f>+IF(G$20&lt;0,0,G$20*$B$130)/12*G$31</f>
      </c>
      <c r="H135" s="323">
        <f>+IF(G135=0,0,+IF(ROUNDUP(SUM($G135:G135),0)&lt;$G$20,MIN(($G$20-SUM($G135:G135)),+$G$20*$B$130),0))</f>
      </c>
    </row>
    <row x14ac:dyDescent="0.25" r="136" customHeight="1" ht="18.75" hidden="1">
      <c r="A136" s="319">
        <f>A129</f>
      </c>
      <c r="B136" s="320"/>
      <c r="C136" s="323"/>
      <c r="D136" s="323"/>
      <c r="E136" s="323"/>
      <c r="F136" s="323"/>
      <c r="G136" s="323"/>
      <c r="H136" s="329">
        <f>+IF(H$20&lt;0,0,H$20*$B$130)/12*H$31</f>
      </c>
    </row>
    <row x14ac:dyDescent="0.25" r="137" customHeight="1" ht="18.75" hidden="1">
      <c r="A137" s="324" t="s">
        <v>24</v>
      </c>
      <c r="B137" s="324"/>
      <c r="C137" s="323">
        <f>+C95+C102+C109+C116+C123+C130</f>
      </c>
      <c r="D137" s="323">
        <f>+D95+D102+D109+D116+D123+D130</f>
      </c>
      <c r="E137" s="323">
        <f>+E95+E102+E109+E116+E123+E130</f>
      </c>
      <c r="F137" s="323">
        <f>+F95+F102+F109+F116+F123+F130</f>
      </c>
      <c r="G137" s="323">
        <f>+G95+G102+G109+G116+G123+G130</f>
      </c>
      <c r="H137" s="323">
        <f>+H95+H102+H109+H116+H123+H130</f>
      </c>
    </row>
    <row x14ac:dyDescent="0.25" r="138" customHeight="1" ht="18.75" hidden="1">
      <c r="A138" s="324" t="s">
        <v>283</v>
      </c>
      <c r="B138" s="326"/>
      <c r="C138" s="327"/>
      <c r="D138" s="327"/>
      <c r="E138" s="327"/>
      <c r="F138" s="327"/>
      <c r="G138" s="327"/>
      <c r="H138" s="327"/>
    </row>
    <row x14ac:dyDescent="0.25" r="139" customHeight="1" ht="18.75" hidden="1">
      <c r="A139" s="328" t="s">
        <v>284</v>
      </c>
      <c r="B139" s="317">
        <f>+C72</f>
      </c>
      <c r="C139" s="318">
        <f>SUM(C140:C145)</f>
      </c>
      <c r="D139" s="318">
        <f>SUM(D140:D145)</f>
      </c>
      <c r="E139" s="318">
        <f>SUM(E140:E145)</f>
      </c>
      <c r="F139" s="318">
        <f>SUM(F140:F145)</f>
      </c>
      <c r="G139" s="318">
        <f>SUM(G140:G145)</f>
      </c>
      <c r="H139" s="318">
        <f>SUM(H140:H145)</f>
      </c>
    </row>
    <row x14ac:dyDescent="0.25" r="140" customHeight="1" ht="18.75" hidden="1">
      <c r="A140" s="319">
        <f>A103</f>
      </c>
      <c r="B140" s="320"/>
      <c r="C140" s="329">
        <f>+IF(C$24&lt;0,0,C$24*$B$139)/12*C$31</f>
      </c>
      <c r="D140" s="322">
        <f>+IF(AND(C140&gt;0,C24&gt;0),+IF(ROUNDUP(SUM($C140:C140),0)&lt;C24,+C24*$B139*(C$31/12)),C24*$B139*(D$31/12))</f>
      </c>
      <c r="E140" s="323">
        <f>+IF(D140=0,0,+IF(ROUNDUP(SUM($C140:D140),0)&lt;$C24,MIN(($C24-SUM($C140:D140)),+$C24*$B$139),0))</f>
      </c>
      <c r="F140" s="323">
        <f>+IF(E140=0,0,+IF(ROUNDUP(SUM($C140:E140),0)&lt;$C24,MIN(($C24-SUM($C140:E140)),+$C24*$B$139),0))</f>
      </c>
      <c r="G140" s="323">
        <f>+IF(F140=0,0,+IF(ROUNDUP(SUM($C140:F140),0)&lt;$C24,MIN(($C24-SUM($C140:F140)),+$C24*$B$139),0))</f>
      </c>
      <c r="H140" s="323">
        <f>+IF(G140=0,0,+IF(ROUNDUP(SUM($C140:G140),0)&lt;$C24,MIN(($C24-SUM($C140:G140)),+$C24*$B$139),0))</f>
      </c>
    </row>
    <row x14ac:dyDescent="0.25" r="141" customHeight="1" ht="18.75" hidden="1">
      <c r="A141" s="319">
        <f>A104</f>
      </c>
      <c r="B141" s="320"/>
      <c r="C141" s="323">
        <f>+IF(C$25&lt;0,0,C$25*$B$146)/12*C71</f>
      </c>
      <c r="D141" s="329">
        <f>+IF(D$24&lt;0,0,D$24*$B$139)/12*D$31</f>
      </c>
      <c r="E141" s="323">
        <f>+IF(D141=0,0,+IF(ROUNDUP(SUM($D141:D141),0)&lt;D$24,MIN((D$24-SUM($D141:D141)),+D$24*$B$139),0))</f>
      </c>
      <c r="F141" s="323">
        <f>+IF(E141=0,0,+IF(ROUNDUP(SUM($D141:E141),0)&lt;E$24,MIN((E$24-SUM($D141:E141)),+E$24*$B$139),0))</f>
      </c>
      <c r="G141" s="323">
        <f>+IF(F141=0,0,+IF(ROUNDUP(SUM($D141:F141),0)&lt;F$24,MIN((F$24-SUM($D141:F141)),+F$24*$B$139),0))</f>
      </c>
      <c r="H141" s="323">
        <f>+IF(G141=0,0,+IF(ROUNDUP(SUM($D141:G141),0)&lt;G$24,MIN((G$24-SUM($D141:G141)),+G$24*$B$139),0))</f>
      </c>
    </row>
    <row x14ac:dyDescent="0.25" r="142" customHeight="1" ht="18.75" hidden="1">
      <c r="A142" s="319">
        <f>A105</f>
      </c>
      <c r="B142" s="320"/>
      <c r="C142" s="323"/>
      <c r="D142" s="323"/>
      <c r="E142" s="329">
        <f>+IF(E$24&lt;0,0,E$24*$B$139)/12*E$31</f>
      </c>
      <c r="F142" s="323">
        <f>+IF(E142=0,0,+IF(ROUNDUP(SUM($E142:E142),0)&lt;E$24,MIN((E$24-SUM($E142:E142)),+E$24*$B$139),0))</f>
      </c>
      <c r="G142" s="323">
        <f>+IF(F142=0,0,+IF(ROUNDUP(SUM($E142:F142),0)&lt;F$24,MIN((F$24-SUM($E142:F142)),+F$24*$B$139),0))</f>
      </c>
      <c r="H142" s="323">
        <f>+IF(G142=0,0,+IF(ROUNDUP(SUM($E142:G142),0)&lt;G$24,MIN((G$24-SUM($E142:G142)),+G$24*$B$139),0))</f>
      </c>
    </row>
    <row x14ac:dyDescent="0.25" r="143" customHeight="1" ht="18.75" hidden="1">
      <c r="A143" s="319">
        <f>A106</f>
      </c>
      <c r="B143" s="320"/>
      <c r="C143" s="323"/>
      <c r="D143" s="323"/>
      <c r="E143" s="323"/>
      <c r="F143" s="329">
        <f>+IF(F$24&lt;0,0,F$24*$B$139)/12*F$31</f>
      </c>
      <c r="G143" s="323">
        <f>+IF(F143=0,0,+IF(ROUNDUP(SUM($F143:F143),0)&lt;F$24,MIN((F$24-SUM($F143:F143)),+F$24*$B$139),0))</f>
      </c>
      <c r="H143" s="323">
        <f>+IF(G143=0,0,+IF(ROUNDUP(SUM($F143:G143),0)&lt;G$24,MIN((G$24-SUM($F143:G143)),+G$24*$B$139),0))</f>
      </c>
    </row>
    <row x14ac:dyDescent="0.25" r="144" customHeight="1" ht="18.75" hidden="1">
      <c r="A144" s="319">
        <f>A107</f>
      </c>
      <c r="B144" s="320"/>
      <c r="C144" s="323"/>
      <c r="D144" s="323"/>
      <c r="E144" s="323"/>
      <c r="F144" s="323"/>
      <c r="G144" s="329">
        <f>+IF(G$24&lt;0,0,G$24*$B$139)/12*G$31</f>
      </c>
      <c r="H144" s="323">
        <f>+IF(G144=0,0,+IF(ROUNDUP(SUM($G144:G144),0)&lt;G$24,MIN((G$24-SUM($G144:G144)),+G$24*$B$139),0))</f>
      </c>
    </row>
    <row x14ac:dyDescent="0.25" r="145" customHeight="1" ht="18.75" hidden="1">
      <c r="A145" s="319">
        <f>A108</f>
      </c>
      <c r="B145" s="320"/>
      <c r="C145" s="323"/>
      <c r="D145" s="323"/>
      <c r="E145" s="323"/>
      <c r="F145" s="323"/>
      <c r="G145" s="323"/>
      <c r="H145" s="329">
        <f>+IF(H$24&lt;0,0,H$24*$B$139)</f>
      </c>
    </row>
    <row x14ac:dyDescent="0.25" r="146" customHeight="1" ht="18.75" hidden="1">
      <c r="A146" s="328" t="s">
        <v>285</v>
      </c>
      <c r="B146" s="317">
        <f>+C73</f>
      </c>
      <c r="C146" s="318">
        <f>SUM(C147:C152)</f>
      </c>
      <c r="D146" s="318">
        <f>SUM(D147:D152)</f>
      </c>
      <c r="E146" s="318">
        <f>SUM(E147:E152)</f>
      </c>
      <c r="F146" s="318">
        <f>SUM(F147:F152)</f>
      </c>
      <c r="G146" s="318">
        <f>SUM(G147:G152)</f>
      </c>
      <c r="H146" s="318">
        <f>SUM(H147:H152)</f>
      </c>
    </row>
    <row x14ac:dyDescent="0.25" r="147" customHeight="1" ht="18.75" hidden="1">
      <c r="A147" s="319">
        <f>A140</f>
      </c>
      <c r="B147" s="320"/>
      <c r="C147" s="329">
        <f>+IF(C$25&lt;0,0,C$25*$B$146)/12*C$31</f>
      </c>
      <c r="D147" s="322">
        <f>+IF(AND(C147&gt;0,C25&gt;0),+IF(ROUNDUP(SUM($C147:C147),0)&lt;C25,+C25*$B146*(C$31/12)),C25*$B146*(D$31/12))</f>
      </c>
      <c r="E147" s="323">
        <f>+IF(D147=0,0,+IF(ROUNDUP(SUM($C147:D147),0)&lt;$C25,MIN(($C25-SUM($C147:D147)),+$C25*$B$146),0))</f>
      </c>
      <c r="F147" s="323">
        <f>+IF(E147=0,0,+IF(ROUNDUP(SUM($C147:E147),0)&lt;$C25,MIN(($C25-SUM($C147:E147)),+$C25*$B$146),0))</f>
      </c>
      <c r="G147" s="323">
        <f>+IF(F147=0,0,+IF(ROUNDUP(SUM($C147:F147),0)&lt;$C25,MIN(($C25-SUM($C147:F147)),+$C25*$B$146),0))</f>
      </c>
      <c r="H147" s="323">
        <f>+IF(G147=0,0,+IF(ROUNDUP(SUM($C147:G147),0)&lt;$C25,MIN(($C25-SUM($C147:G147)),+$C25*$B$146),0))</f>
      </c>
    </row>
    <row x14ac:dyDescent="0.25" r="148" customHeight="1" ht="18.75" hidden="1">
      <c r="A148" s="319">
        <f>A141</f>
      </c>
      <c r="B148" s="320"/>
      <c r="C148" s="323">
        <f>+IF(C$25&lt;0,0,C$25*$B$146)/12*C32</f>
      </c>
      <c r="D148" s="329">
        <f>+IF(D$25&lt;0,0,D$25*$B$146)/12*D$31</f>
      </c>
      <c r="E148" s="323">
        <f>+IF(D148=0,0,+IF(ROUNDUP(SUM($D148:D148),0)&lt;$D25,MIN(($D25-SUM($D148:D148)),+$D25*$B$146),0))</f>
      </c>
      <c r="F148" s="323">
        <f>+IF(E148=0,0,+IF(ROUNDUP(SUM($D148:E148),0)&lt;$D25,MIN(($D25-SUM($D148:E148)),+$D25*$B$146),0))</f>
      </c>
      <c r="G148" s="323">
        <f>+IF(F148=0,0,+IF(ROUNDUP(SUM($D148:F148),0)&lt;$D25,MIN(($D25-SUM($D148:F148)),+$D25*$B$146),0))</f>
      </c>
      <c r="H148" s="323">
        <f>+IF(G148=0,0,+IF(ROUNDUP(SUM($D148:G148),0)&lt;$D25,MIN(($D25-SUM($D148:G148)),+$D25*$B$146),0))</f>
      </c>
    </row>
    <row x14ac:dyDescent="0.25" r="149" customHeight="1" ht="18.75" hidden="1">
      <c r="A149" s="319">
        <f>A142</f>
      </c>
      <c r="B149" s="320"/>
      <c r="C149" s="323"/>
      <c r="D149" s="323"/>
      <c r="E149" s="329">
        <f>+IF(E$25&lt;0,0,E$25*$B$146)/12*E$31</f>
      </c>
      <c r="F149" s="323">
        <f>+IF(E149=0,0,+IF(ROUNDUP(SUM($E149:E149),0)&lt;$E25,MIN(($E25-SUM($E149:E149)),+$E25*$B$146),0))</f>
      </c>
      <c r="G149" s="323">
        <f>+IF(F149=0,0,+IF(ROUNDUP(SUM($E149:F149),0)&lt;$E25,MIN(($E25-SUM($E149:F149)),+$E25*$B$146),0))</f>
      </c>
      <c r="H149" s="323">
        <f>+IF(G149=0,0,+IF(ROUNDUP(SUM($E149:G149),0)&lt;$E25,MIN(($E25-SUM($E149:G149)),+$E25*$B$146),0))</f>
      </c>
    </row>
    <row x14ac:dyDescent="0.25" r="150" customHeight="1" ht="18.75" hidden="1">
      <c r="A150" s="319">
        <f>A143</f>
      </c>
      <c r="B150" s="320"/>
      <c r="C150" s="323"/>
      <c r="D150" s="323"/>
      <c r="E150" s="323"/>
      <c r="F150" s="329">
        <f>+IF(F$25&lt;0,0,F$25*$B$146)/12*F$31</f>
      </c>
      <c r="G150" s="323">
        <f>+IF(F150=0,0,+IF(ROUNDUP(SUM($F150:F150),0)&lt;$F25,MIN(($F25-SUM($F150:F150)),+$F25*$B$146),0))</f>
      </c>
      <c r="H150" s="323">
        <f>+IF(G150=0,0,+IF(ROUNDUP(SUM($F150:G150),0)&lt;$F25,MIN(($F25-SUM($F150:G150)),+$F25*$B$146),0))</f>
      </c>
    </row>
    <row x14ac:dyDescent="0.25" r="151" customHeight="1" ht="18.75" hidden="1">
      <c r="A151" s="319">
        <f>A144</f>
      </c>
      <c r="B151" s="320"/>
      <c r="C151" s="323"/>
      <c r="D151" s="323"/>
      <c r="E151" s="323"/>
      <c r="F151" s="323"/>
      <c r="G151" s="329">
        <f>+IF(G$25&lt;0,0,G$25*$B$146)/12*G$31</f>
      </c>
      <c r="H151" s="323">
        <f>+IF(G151=0,0,+IF(ROUNDUP(SUM($G151:G151),0)&lt;$G25,MIN(($G25-SUM($G151:G151)),+$G25*$B$146),0))</f>
      </c>
    </row>
    <row x14ac:dyDescent="0.25" r="152" customHeight="1" ht="18.75" hidden="1">
      <c r="A152" s="319">
        <f>A145</f>
      </c>
      <c r="B152" s="320"/>
      <c r="C152" s="323"/>
      <c r="D152" s="323"/>
      <c r="E152" s="323"/>
      <c r="F152" s="323"/>
      <c r="G152" s="323"/>
      <c r="H152" s="329">
        <f>+IF(H$25&lt;0,0,H$25*$B$146)/12*H$31</f>
      </c>
    </row>
    <row x14ac:dyDescent="0.25" r="153" customHeight="1" ht="18.75" hidden="1">
      <c r="A153" s="328" t="s">
        <v>286</v>
      </c>
      <c r="B153" s="317">
        <f>+C74</f>
      </c>
      <c r="C153" s="318">
        <f>SUM(C154:C159)</f>
      </c>
      <c r="D153" s="318">
        <f>SUM(D154:D159)</f>
      </c>
      <c r="E153" s="318">
        <f>SUM(E154:E159)</f>
      </c>
      <c r="F153" s="318">
        <f>SUM(F154:F159)</f>
      </c>
      <c r="G153" s="318">
        <f>SUM(G154:G159)</f>
      </c>
      <c r="H153" s="318">
        <f>SUM(H154:H159)</f>
      </c>
    </row>
    <row x14ac:dyDescent="0.25" r="154" customHeight="1" ht="18.75" hidden="1">
      <c r="A154" s="319">
        <f>A147</f>
      </c>
      <c r="B154" s="320"/>
      <c r="C154" s="329">
        <f>+IF(C$26&lt;0,0,C$26*$B$153)/12*C$31</f>
      </c>
      <c r="D154" s="322">
        <f>+IF(AND(C154&gt;0,C26&gt;0),+IF(ROUNDUP(SUM($C154:C154),0)&lt;C26,+C26*$B153*(C$31/12)),C26*$B153*(D$31/12))</f>
      </c>
      <c r="E154" s="323">
        <f>+IF(D154=0,0,+IF(ROUNDUP(SUM($C154:D154),0)&lt;$C26,MIN(($C26-SUM($C154:D154)),+$C26*$B$153),0))</f>
      </c>
      <c r="F154" s="323">
        <f>+IF(E154=0,0,+IF(ROUNDUP(SUM($C154:E154),0)&lt;$C26,MIN(($C26-SUM($C154:E154)),+$C26*$B$153),0))</f>
      </c>
      <c r="G154" s="323">
        <f>+IF(F154=0,0,+IF(ROUNDUP(SUM($C154:F154),0)&lt;$C26,MIN(($C26-SUM($C154:F154)),+$C26*$B$153),0))</f>
      </c>
      <c r="H154" s="323">
        <f>+IF(G154=0,0,+IF(ROUNDUP(SUM($C154:G154),0)&lt;$C26,MIN(($C26-SUM($C154:G154)),+$C26*$B$153),0))</f>
      </c>
    </row>
    <row x14ac:dyDescent="0.25" r="155" customHeight="1" ht="18.75" hidden="1">
      <c r="A155" s="319">
        <f>A148</f>
      </c>
      <c r="B155" s="320"/>
      <c r="C155" s="323"/>
      <c r="D155" s="323">
        <f>+IF(D$26&lt;0,0,D$26*$B$153)/12*D$31</f>
      </c>
      <c r="E155" s="329">
        <f>+IF(D155=0,0,+IF(ROUNDUP(SUM($D155:D155),0)&lt;$D$26,MIN(($D$26-SUM($D155:D155)),+$D$26*$B$153),0))</f>
      </c>
      <c r="F155" s="329">
        <f>+IF(E155=0,0,+IF(ROUNDUP(SUM($D155:E155),0)&lt;$D$26,MIN(($D$26-SUM($D155:E155)),+$D$26*$B$153),0))</f>
      </c>
      <c r="G155" s="329">
        <f>+IF(F155=0,0,+IF(ROUNDUP(SUM($D155:F155),0)&lt;$D$26,MIN(($D$26-SUM($D155:F155)),+$D$26*$B$153),0))</f>
      </c>
      <c r="H155" s="329">
        <f>+IF(G155=0,0,+IF(ROUNDUP(SUM($D155:G155),0)&lt;$D$26,MIN(($D$26-SUM($D155:G155)),+$D$26*$B$153),0))</f>
      </c>
    </row>
    <row x14ac:dyDescent="0.25" r="156" customHeight="1" ht="18.75" hidden="1">
      <c r="A156" s="319">
        <f>A149</f>
      </c>
      <c r="B156" s="320"/>
      <c r="C156" s="323"/>
      <c r="D156" s="323"/>
      <c r="E156" s="323">
        <f>+IF(E$26&lt;0,0,E$26*$B$153)/12*E$31</f>
      </c>
      <c r="F156" s="329">
        <f>+IF(E156=0,0,+IF(ROUNDUP(SUM($E156:E156),0)&lt;$E$26,MIN(($E$26-SUM($E156:E156)),+$E$26*$B$153),0))</f>
      </c>
      <c r="G156" s="329">
        <f>+IF(F156=0,0,+IF(ROUNDUP(SUM($E156:F156),0)&lt;$E$26,MIN(($E$26-SUM($E156:F156)),+$E$26*$B$153),0))</f>
      </c>
      <c r="H156" s="329">
        <f>+IF(G156=0,0,+IF(ROUNDUP(SUM($E156:G156),0)&lt;$E$26,MIN(($E$26-SUM($E156:G156)),+$E$26*$B$153),0))</f>
      </c>
    </row>
    <row x14ac:dyDescent="0.25" r="157" customHeight="1" ht="18.75" hidden="1">
      <c r="A157" s="319">
        <f>A150</f>
      </c>
      <c r="B157" s="320"/>
      <c r="C157" s="323"/>
      <c r="D157" s="323"/>
      <c r="E157" s="323"/>
      <c r="F157" s="323">
        <f>+IF(F$26&lt;0,0,F$26*$B$153)/12*F$31</f>
      </c>
      <c r="G157" s="329">
        <f>+IF(F157=0,0,+IF(ROUNDUP(SUM($F157:F157),0)&lt;$F$26,MIN(($F$26-SUM($F157:F157)),+$F$26*$B$153),0))</f>
      </c>
      <c r="H157" s="329">
        <f>+IF(G157=0,0,+IF(ROUNDUP(SUM($F157:G157),0)&lt;$F$26,MIN(($F$26-SUM($F157:G157)),+$F$26*$B$153),0))</f>
      </c>
    </row>
    <row x14ac:dyDescent="0.25" r="158" customHeight="1" ht="18.75" hidden="1">
      <c r="A158" s="319">
        <f>A151</f>
      </c>
      <c r="B158" s="320"/>
      <c r="C158" s="323"/>
      <c r="D158" s="323"/>
      <c r="E158" s="323"/>
      <c r="F158" s="323"/>
      <c r="G158" s="323">
        <f>+IF(G$26&lt;0,0,G$26*$B$153)/12*G$31</f>
      </c>
      <c r="H158" s="329">
        <f>+IF(G158=0,0,+IF(ROUNDUP(SUM($G158:G158),0)&lt;$G$26,MIN(($G$26-SUM($G158:G158)),+$G$26*$B$153),0))</f>
      </c>
    </row>
    <row x14ac:dyDescent="0.25" r="159" customHeight="1" ht="18.75" hidden="1">
      <c r="A159" s="319">
        <f>A152</f>
      </c>
      <c r="B159" s="320"/>
      <c r="C159" s="323"/>
      <c r="D159" s="323"/>
      <c r="E159" s="323"/>
      <c r="F159" s="323"/>
      <c r="G159" s="323"/>
      <c r="H159" s="323">
        <f>+IF(H$26&lt;0,0,H$26*$B$153)/12*H$31</f>
      </c>
    </row>
    <row x14ac:dyDescent="0.25" r="160" customHeight="1" ht="18.75" hidden="1">
      <c r="A160" s="328" t="s">
        <v>287</v>
      </c>
      <c r="B160" s="317">
        <f>+C75</f>
      </c>
      <c r="C160" s="318">
        <f>SUM(C161:C166)</f>
      </c>
      <c r="D160" s="318">
        <f>SUM(D161:D166)</f>
      </c>
      <c r="E160" s="318">
        <f>SUM(E161:E166)</f>
      </c>
      <c r="F160" s="318">
        <f>SUM(F161:F166)</f>
      </c>
      <c r="G160" s="318">
        <f>SUM(G161:G166)</f>
      </c>
      <c r="H160" s="318">
        <f>SUM(H161:H166)</f>
      </c>
    </row>
    <row x14ac:dyDescent="0.25" r="161" customHeight="1" ht="18.75" hidden="1">
      <c r="A161" s="319">
        <f>A154</f>
      </c>
      <c r="B161" s="320"/>
      <c r="C161" s="329">
        <f>+IF(C$27&lt;0,0,C$27*$B$160)/12*C$31</f>
      </c>
      <c r="D161" s="322">
        <f>+IF(AND(C161&gt;0,C27&gt;0),+IF(ROUNDUP(SUM($C161:C161),0)&lt;C27,+C27*$B160*(C$31/12)),C27*$B160*(D$31/12))</f>
      </c>
      <c r="E161" s="323">
        <f>+IF(D161=0,0,+IF(ROUNDUP(SUM($C161:D161),0)&lt;$C27,MIN(($C27-SUM($C161:D161)),+$C27*$B$160),0))</f>
      </c>
      <c r="F161" s="323">
        <f>+IF(E161=0,0,+IF(ROUNDUP(SUM($C161:E161),0)&lt;$C27,MIN(($C27-SUM($C161:E161)),+$C27*$B$160),0))</f>
      </c>
      <c r="G161" s="323">
        <f>+IF(F161=0,0,+IF(ROUNDUP(SUM($C161:F161),0)&lt;$C27,MIN(($C27-SUM($C161:F161)),+$C27*$B$160),0))</f>
      </c>
      <c r="H161" s="323">
        <f>+IF(G161=0,0,+IF(ROUNDUP(SUM($C161:G161),0)&lt;$C27,MIN(($C27-SUM($C161:G161)),+$C27*$B$160),0))</f>
      </c>
    </row>
    <row x14ac:dyDescent="0.25" r="162" customHeight="1" ht="18.75" hidden="1">
      <c r="A162" s="319">
        <f>A155</f>
      </c>
      <c r="B162" s="320"/>
      <c r="C162" s="323"/>
      <c r="D162" s="329">
        <f>+IF(D$27&lt;0,0,D$27*$B$160)/12*D$31</f>
      </c>
      <c r="E162" s="323">
        <f>+IF(D162=0,0,+IF(ROUNDUP(SUM($D162:D162),0)&lt;$D$27,MIN(($D$27-SUM($D162:D162)),+$D$27*$B$160),0))</f>
      </c>
      <c r="F162" s="323">
        <f>+IF(E162=0,0,+IF(ROUNDUP(SUM($D162:E162),0)&lt;$D$27,MIN(($D$27-SUM($D162:E162)),+$D$27*$B$160),0))</f>
      </c>
      <c r="G162" s="323">
        <f>+IF(F162=0,0,+IF(ROUNDUP(SUM($D162:F162),0)&lt;$D$27,MIN(($D$27-SUM($D162:F162)),+$D$27*$B$160),0))</f>
      </c>
      <c r="H162" s="323">
        <f>+IF(G162=0,0,+IF(ROUNDUP(SUM($D162:G162),0)&lt;$D$27,MIN(($D$27-SUM($D162:G162)),+$D$27*$B$160),0))</f>
      </c>
    </row>
    <row x14ac:dyDescent="0.25" r="163" customHeight="1" ht="18.75" hidden="1">
      <c r="A163" s="319">
        <f>A156</f>
      </c>
      <c r="B163" s="320"/>
      <c r="C163" s="323"/>
      <c r="D163" s="323"/>
      <c r="E163" s="329">
        <f>+IF(E$27&lt;0,0,E$27*$B$160)/12*E$31</f>
      </c>
      <c r="F163" s="323">
        <f>+IF(E163=0,0,+IF(ROUNDUP(SUM($E163:E163),0)&lt;$E$27,MIN(($E$27-SUM($E163:E163)),+$E$27*$B$160),0))</f>
      </c>
      <c r="G163" s="323">
        <f>+IF(F163=0,0,+IF(ROUNDUP(SUM($E163:F163),0)&lt;$E$27,MIN(($E$27-SUM($E163:F163)),+$E$27*$B$160),0))</f>
      </c>
      <c r="H163" s="323">
        <f>+IF(G163=0,0,+IF(ROUNDUP(SUM($E163:G163),0)&lt;$E$27,MIN(($E$27-SUM($E163:G163)),+$E$27*$B$160),0))</f>
      </c>
    </row>
    <row x14ac:dyDescent="0.25" r="164" customHeight="1" ht="18.75" hidden="1">
      <c r="A164" s="319">
        <f>A157</f>
      </c>
      <c r="B164" s="320"/>
      <c r="C164" s="323"/>
      <c r="D164" s="323"/>
      <c r="E164" s="323"/>
      <c r="F164" s="329">
        <f>+IF(F$27&lt;0,0,F$27*$B$160)/12*F$31</f>
      </c>
      <c r="G164" s="323">
        <f>+IF(F164=0,0,+IF(ROUNDUP(SUM($F164:F164),0)&lt;$F$27,MIN(($F$27-SUM($F164:F164)),+$F$27*$B$160),0))</f>
      </c>
      <c r="H164" s="323">
        <f>+IF(G164=0,0,+IF(ROUNDUP(SUM($F164:G164),0)&lt;$F$27,MIN(($F$27-SUM($F164:G164)),+$F$27*$B$160),0))</f>
      </c>
    </row>
    <row x14ac:dyDescent="0.25" r="165" customHeight="1" ht="18.75" hidden="1">
      <c r="A165" s="319">
        <f>A158</f>
      </c>
      <c r="B165" s="320"/>
      <c r="C165" s="323"/>
      <c r="D165" s="323"/>
      <c r="E165" s="323"/>
      <c r="F165" s="323"/>
      <c r="G165" s="329">
        <f>+IF(G$27&lt;0,0,G$27*$B$160)/12*G$31</f>
      </c>
      <c r="H165" s="323">
        <f>+IF(G165=0,0,+IF(ROUNDUP(SUM($G165:G165),0)&lt;$G$27,MIN(($G$27-SUM($G165:G165)),+$G$27*$B$160),0))</f>
      </c>
    </row>
    <row x14ac:dyDescent="0.25" r="166" customHeight="1" ht="18.75" hidden="1">
      <c r="A166" s="319">
        <f>A159</f>
      </c>
      <c r="B166" s="320"/>
      <c r="C166" s="323"/>
      <c r="D166" s="323"/>
      <c r="E166" s="323"/>
      <c r="F166" s="323"/>
      <c r="G166" s="323"/>
      <c r="H166" s="329">
        <f>+IF(H$27&lt;0,0,H$27*$B$160)/12*H$31</f>
      </c>
    </row>
    <row x14ac:dyDescent="0.25" r="167" customHeight="1" ht="18.75" hidden="1">
      <c r="A167" s="303" t="s">
        <v>24</v>
      </c>
      <c r="B167" s="303"/>
      <c r="C167" s="234">
        <f>+C139+C146+C153+C160</f>
      </c>
      <c r="D167" s="234">
        <f>+D139+D146+D153+D160</f>
      </c>
      <c r="E167" s="234">
        <f>+E139+E146+E153+E160</f>
      </c>
      <c r="F167" s="234">
        <f>+F139+F146+F153+F160</f>
      </c>
      <c r="G167" s="234">
        <f>+G139+G146+G153+G160</f>
      </c>
      <c r="H167" s="234">
        <f>+H139+H146+H153+H160</f>
      </c>
    </row>
    <row x14ac:dyDescent="0.25" r="168" customHeight="1" ht="18.75">
      <c r="A168" s="262" t="s">
        <v>288</v>
      </c>
      <c r="B168" s="262"/>
      <c r="C168" s="56">
        <f>+C93+C137+C167</f>
      </c>
      <c r="D168" s="56">
        <f>+D93+D137+D167</f>
      </c>
      <c r="E168" s="56">
        <f>+E93+E137+E167</f>
      </c>
      <c r="F168" s="56">
        <f>+F93+F137+F167</f>
      </c>
      <c r="G168" s="56">
        <f>+G93+G137+G167</f>
      </c>
      <c r="H168" s="56">
        <f>+H93+H137+H167</f>
      </c>
    </row>
    <row x14ac:dyDescent="0.25" r="169" customHeight="1" ht="18.75">
      <c r="A169" s="212"/>
      <c r="B169" s="212"/>
      <c r="C169" s="62"/>
      <c r="D169" s="62"/>
      <c r="E169" s="62"/>
      <c r="F169" s="62"/>
      <c r="G169" s="62"/>
      <c r="H169" s="62"/>
    </row>
    <row x14ac:dyDescent="0.25" r="170" customHeight="1" ht="18.75">
      <c r="A170" s="212"/>
      <c r="B170" s="212"/>
      <c r="C170" s="62"/>
      <c r="D170" s="62"/>
      <c r="E170" s="62"/>
      <c r="F170" s="62"/>
      <c r="G170" s="62"/>
      <c r="H170" s="62"/>
    </row>
    <row x14ac:dyDescent="0.25" r="171" customHeight="1" ht="18.75">
      <c r="A171" s="285" t="s">
        <v>289</v>
      </c>
      <c r="B171" s="287"/>
      <c r="C171" s="49">
        <f>+C7</f>
      </c>
      <c r="D171" s="49">
        <f>+C171+1</f>
      </c>
      <c r="E171" s="49">
        <f>+D171+1</f>
      </c>
      <c r="F171" s="49">
        <f>+E171+1</f>
      </c>
      <c r="G171" s="49">
        <f>+F171+1</f>
      </c>
      <c r="H171" s="49">
        <f>+G171+1</f>
      </c>
    </row>
    <row x14ac:dyDescent="0.25" r="172" customHeight="1" ht="18.75">
      <c r="A172" s="313" t="s">
        <v>122</v>
      </c>
      <c r="B172" s="290"/>
      <c r="C172" s="276">
        <f>+C93</f>
      </c>
      <c r="D172" s="276">
        <f>+SUM(C93:D93)</f>
      </c>
      <c r="E172" s="276">
        <f>+SUM(C93:E93)</f>
      </c>
      <c r="F172" s="276">
        <f>+SUM(C93:F93)</f>
      </c>
      <c r="G172" s="276">
        <f>+SUM(C93:G93)</f>
      </c>
      <c r="H172" s="276">
        <f>+SUM(C93:H93)</f>
      </c>
    </row>
    <row x14ac:dyDescent="0.25" r="173" customHeight="1" ht="18.75">
      <c r="A173" s="313" t="s">
        <v>121</v>
      </c>
      <c r="B173" s="290"/>
      <c r="C173" s="276">
        <f>+C137</f>
      </c>
      <c r="D173" s="276">
        <f>+SUM(C137:D137)</f>
      </c>
      <c r="E173" s="276">
        <f>+SUM(C137:E137)</f>
      </c>
      <c r="F173" s="276">
        <f>+SUM(C137:F137)</f>
      </c>
      <c r="G173" s="276">
        <f>+SUM(C137:G137)</f>
      </c>
      <c r="H173" s="276">
        <f>+SUM(C137:H137)</f>
      </c>
    </row>
    <row x14ac:dyDescent="0.25" r="174" customHeight="1" ht="18.75">
      <c r="A174" s="330" t="s">
        <v>123</v>
      </c>
      <c r="B174" s="290"/>
      <c r="C174" s="231">
        <f>+C167</f>
      </c>
      <c r="D174" s="231">
        <f>+SUM(C167:D167)</f>
      </c>
      <c r="E174" s="231">
        <f>+SUM(C167:E167)</f>
      </c>
      <c r="F174" s="231">
        <f>+SUM(C167:F167)</f>
      </c>
      <c r="G174" s="231">
        <f>+SUM(C167:G167)</f>
      </c>
      <c r="H174" s="231">
        <f>+SUM(C167:H167)</f>
      </c>
    </row>
    <row x14ac:dyDescent="0.25" r="175" customHeight="1" ht="18.75">
      <c r="A175" s="262" t="s">
        <v>24</v>
      </c>
      <c r="B175" s="262"/>
      <c r="C175" s="56">
        <f>+C172+C173+C174</f>
      </c>
      <c r="D175" s="56">
        <f>+D172+D173+D174</f>
      </c>
      <c r="E175" s="56">
        <f>+E172+E173+E174</f>
      </c>
      <c r="F175" s="56">
        <f>+F172+F173+F174</f>
      </c>
      <c r="G175" s="56">
        <f>+G172+G173+G174</f>
      </c>
      <c r="H175" s="56">
        <f>+H172+H173+H174</f>
      </c>
    </row>
    <row x14ac:dyDescent="0.25" r="176" customHeight="1" ht="18.75">
      <c r="A176" s="212"/>
      <c r="B176" s="212"/>
      <c r="C176" s="62"/>
      <c r="D176" s="62"/>
      <c r="E176" s="62"/>
      <c r="F176" s="62"/>
      <c r="G176" s="62"/>
      <c r="H176" s="62"/>
    </row>
    <row x14ac:dyDescent="0.25" r="177" customHeight="1" ht="18.75">
      <c r="A177" s="212"/>
      <c r="B177" s="212"/>
      <c r="C177" s="62"/>
      <c r="D177" s="62"/>
      <c r="E177" s="62"/>
      <c r="F177" s="62"/>
      <c r="G177" s="62"/>
      <c r="H177" s="62"/>
    </row>
    <row x14ac:dyDescent="0.25" r="178" customHeight="1" ht="18.75">
      <c r="A178" s="285" t="s">
        <v>290</v>
      </c>
      <c r="B178" s="287"/>
      <c r="C178" s="49">
        <f>+C7</f>
      </c>
      <c r="D178" s="49">
        <f>+C178+1</f>
      </c>
      <c r="E178" s="49">
        <f>+D178+1</f>
      </c>
      <c r="F178" s="49">
        <f>+E178+1</f>
      </c>
      <c r="G178" s="49">
        <f>+F178+1</f>
      </c>
      <c r="H178" s="49">
        <f>+G178+1</f>
      </c>
    </row>
    <row x14ac:dyDescent="0.25" r="179" customHeight="1" ht="18.75">
      <c r="A179" s="313" t="s">
        <v>122</v>
      </c>
      <c r="B179" s="290"/>
      <c r="C179" s="276">
        <f>+C40-C172</f>
      </c>
      <c r="D179" s="276">
        <f>+D40-D172</f>
      </c>
      <c r="E179" s="276">
        <f>+E40-E172</f>
      </c>
      <c r="F179" s="276">
        <f>+F40-F172</f>
      </c>
      <c r="G179" s="276">
        <f>+G40-G172</f>
      </c>
      <c r="H179" s="276">
        <f>+H40-H172</f>
      </c>
    </row>
    <row x14ac:dyDescent="0.25" r="180" customHeight="1" ht="18.75">
      <c r="A180" s="313" t="s">
        <v>121</v>
      </c>
      <c r="B180" s="290"/>
      <c r="C180" s="276">
        <f>+C49-C173</f>
      </c>
      <c r="D180" s="276">
        <f>+D49-D173</f>
      </c>
      <c r="E180" s="276">
        <f>+E49-E173</f>
      </c>
      <c r="F180" s="276">
        <f>+F49-F173</f>
      </c>
      <c r="G180" s="276">
        <f>+G49-G173</f>
      </c>
      <c r="H180" s="276">
        <f>+H49-H173</f>
      </c>
    </row>
    <row x14ac:dyDescent="0.25" r="181" customHeight="1" ht="18.75">
      <c r="A181" s="330" t="s">
        <v>123</v>
      </c>
      <c r="B181" s="290"/>
      <c r="C181" s="231">
        <f>+C56-C174</f>
      </c>
      <c r="D181" s="231">
        <f>+D56-D174</f>
      </c>
      <c r="E181" s="231">
        <f>+E56-E174</f>
      </c>
      <c r="F181" s="231">
        <f>+F56-F174</f>
      </c>
      <c r="G181" s="231">
        <f>+G56-G174</f>
      </c>
      <c r="H181" s="231">
        <f>+H56-H174</f>
      </c>
    </row>
    <row x14ac:dyDescent="0.25" r="182" customHeight="1" ht="18.75">
      <c r="A182" s="262" t="s">
        <v>24</v>
      </c>
      <c r="B182" s="262"/>
      <c r="C182" s="56">
        <f>+C179+C180+C181</f>
      </c>
      <c r="D182" s="56">
        <f>+D179+D180+D181</f>
      </c>
      <c r="E182" s="56">
        <f>+E179+E180+E181</f>
      </c>
      <c r="F182" s="56">
        <f>+F179+F180+F181</f>
      </c>
      <c r="G182" s="56">
        <f>+G179+G180+G181</f>
      </c>
      <c r="H182" s="56">
        <f>+H179+H180+H181</f>
      </c>
    </row>
  </sheetData>
  <mergeCells count="21">
    <mergeCell ref="A4:H4"/>
    <mergeCell ref="A7:B7"/>
    <mergeCell ref="A12:B12"/>
    <mergeCell ref="A21:B21"/>
    <mergeCell ref="A28:B28"/>
    <mergeCell ref="A29:B29"/>
    <mergeCell ref="A31:B31"/>
    <mergeCell ref="A35:B35"/>
    <mergeCell ref="A40:B40"/>
    <mergeCell ref="A49:B49"/>
    <mergeCell ref="A56:B56"/>
    <mergeCell ref="A57:B57"/>
    <mergeCell ref="A60:C60"/>
    <mergeCell ref="D60:G61"/>
    <mergeCell ref="D72:H73"/>
    <mergeCell ref="A93:B93"/>
    <mergeCell ref="A137:B137"/>
    <mergeCell ref="A167:B167"/>
    <mergeCell ref="A168:B168"/>
    <mergeCell ref="A175:B175"/>
    <mergeCell ref="A182:B18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6"/>
  <sheetViews>
    <sheetView workbookViewId="0"/>
  </sheetViews>
  <sheetFormatPr defaultRowHeight="15" x14ac:dyDescent="0.25"/>
  <cols>
    <col min="1" max="1" style="190" width="30.576428571428572" customWidth="1" bestFit="1"/>
    <col min="2" max="2" style="9" width="8.719285714285713" customWidth="1" bestFit="1"/>
    <col min="3" max="3" style="190" width="13.576428571428572" customWidth="1" bestFit="1"/>
    <col min="4" max="4" style="190" width="12.147857142857141" customWidth="1" bestFit="1"/>
    <col min="5" max="5" style="190" width="11.719285714285713" customWidth="1" bestFit="1"/>
    <col min="6" max="6" style="190" width="11.719285714285713" customWidth="1" bestFit="1"/>
    <col min="7" max="7" style="190" width="11.719285714285713" customWidth="1" bestFit="1"/>
    <col min="8" max="8" style="190" width="11.719285714285713" customWidth="1" bestFit="1"/>
  </cols>
  <sheetData>
    <row x14ac:dyDescent="0.25" r="1" customHeight="1" ht="18.75">
      <c r="A1" s="38"/>
      <c r="B1" s="12"/>
      <c r="C1" s="226"/>
      <c r="D1" s="226"/>
      <c r="E1" s="226"/>
      <c r="F1" s="226"/>
      <c r="G1" s="227" t="s">
        <v>12</v>
      </c>
      <c r="H1" s="259">
        <f>+Pressupostos!E1</f>
      </c>
    </row>
    <row x14ac:dyDescent="0.25" r="2" customHeight="1" ht="18.75">
      <c r="A2" s="38"/>
      <c r="B2" s="12"/>
      <c r="C2" s="38"/>
      <c r="D2" s="38"/>
      <c r="E2" s="38"/>
      <c r="F2" s="38"/>
      <c r="G2" s="38"/>
      <c r="H2" s="30">
        <f>+Pressupostos!B9</f>
      </c>
    </row>
    <row x14ac:dyDescent="0.25" r="3" customHeight="1" ht="18.75">
      <c r="A3" s="38"/>
      <c r="B3" s="12"/>
      <c r="C3" s="38"/>
      <c r="D3" s="38"/>
      <c r="E3" s="38"/>
      <c r="F3" s="38"/>
      <c r="G3" s="38"/>
      <c r="H3" s="30"/>
    </row>
    <row x14ac:dyDescent="0.25" r="4" customHeight="1" ht="18.75">
      <c r="A4" s="45" t="s">
        <v>76</v>
      </c>
      <c r="B4" s="260"/>
      <c r="C4" s="261"/>
      <c r="D4" s="261"/>
      <c r="E4" s="261"/>
      <c r="F4" s="261"/>
      <c r="G4" s="261"/>
      <c r="H4" s="261"/>
    </row>
    <row x14ac:dyDescent="0.25" r="5" customHeight="1" ht="18.75">
      <c r="A5" s="38"/>
      <c r="B5" s="12"/>
      <c r="C5" s="38"/>
      <c r="D5" s="38"/>
      <c r="E5" s="38"/>
      <c r="F5" s="38"/>
      <c r="G5" s="38"/>
      <c r="H5" s="38"/>
    </row>
    <row x14ac:dyDescent="0.25" r="6" customHeight="1" ht="18.75">
      <c r="A6" s="38"/>
      <c r="B6" s="12"/>
      <c r="C6" s="38"/>
      <c r="D6" s="38"/>
      <c r="E6" s="38"/>
      <c r="F6" s="38"/>
      <c r="G6" s="38"/>
      <c r="H6" s="38"/>
    </row>
    <row x14ac:dyDescent="0.25" r="7" customHeight="1" ht="18.75">
      <c r="A7" s="49"/>
      <c r="B7" s="215"/>
      <c r="C7" s="49">
        <f>+VN!C8</f>
      </c>
      <c r="D7" s="49">
        <f>+VN!D8</f>
      </c>
      <c r="E7" s="49">
        <f>+VN!E8</f>
      </c>
      <c r="F7" s="49">
        <f>+VN!F8</f>
      </c>
      <c r="G7" s="49">
        <f>+VN!G8</f>
      </c>
      <c r="H7" s="49">
        <f>+VN!H8</f>
      </c>
    </row>
    <row x14ac:dyDescent="0.25" r="8" customHeight="1" ht="18.75">
      <c r="A8" s="262" t="s">
        <v>215</v>
      </c>
      <c r="B8" s="123"/>
      <c r="C8" s="201">
        <f>Investimento!C29+FundoManeio!C24</f>
      </c>
      <c r="D8" s="201">
        <f>Investimento!D29+FundoManeio!D24</f>
      </c>
      <c r="E8" s="201">
        <f>Investimento!E29+FundoManeio!E24</f>
      </c>
      <c r="F8" s="201">
        <f>Investimento!F29+FundoManeio!F24</f>
      </c>
      <c r="G8" s="201">
        <f>Investimento!G29+FundoManeio!G24</f>
      </c>
      <c r="H8" s="201">
        <f>Investimento!H29+FundoManeio!H24</f>
      </c>
    </row>
    <row x14ac:dyDescent="0.25" r="9" customHeight="1" ht="18.75">
      <c r="A9" s="263" t="s">
        <v>216</v>
      </c>
      <c r="B9" s="123"/>
      <c r="C9" s="264"/>
      <c r="D9" s="265">
        <v>0</v>
      </c>
      <c r="E9" s="265">
        <v>0</v>
      </c>
      <c r="F9" s="265">
        <v>0</v>
      </c>
      <c r="G9" s="265">
        <v>0</v>
      </c>
      <c r="H9" s="265">
        <v>0</v>
      </c>
    </row>
    <row x14ac:dyDescent="0.25" r="10" customHeight="1" ht="18.75">
      <c r="A10" s="266" t="s">
        <v>217</v>
      </c>
      <c r="B10" s="267"/>
      <c r="C10" s="220">
        <f>+ROUND(C8*(1+C9),0)</f>
      </c>
      <c r="D10" s="220">
        <f>+ROUND(D8*(1+D9),0)</f>
      </c>
      <c r="E10" s="220">
        <f>+ROUND(E8*(1+E9),0)</f>
      </c>
      <c r="F10" s="220">
        <f>+ROUND(F8*(1+F9),0)</f>
      </c>
      <c r="G10" s="220">
        <f>+ROUND(G8*(1+G9),0)</f>
      </c>
      <c r="H10" s="220">
        <f>+ROUND(H8*(1+H9),0)</f>
      </c>
    </row>
    <row x14ac:dyDescent="0.25" r="11" customHeight="1" ht="18.75">
      <c r="A11" s="38"/>
      <c r="B11" s="12"/>
      <c r="C11" s="38"/>
      <c r="D11" s="38"/>
      <c r="E11" s="38"/>
      <c r="F11" s="38"/>
      <c r="G11" s="38"/>
      <c r="H11" s="38"/>
    </row>
    <row x14ac:dyDescent="0.25" r="12" customHeight="1" ht="18.75">
      <c r="A12" s="38"/>
      <c r="B12" s="12"/>
      <c r="C12" s="38"/>
      <c r="D12" s="38"/>
      <c r="E12" s="38"/>
      <c r="F12" s="38"/>
      <c r="G12" s="38"/>
      <c r="H12" s="38"/>
    </row>
    <row x14ac:dyDescent="0.25" r="13" customHeight="1" ht="18.75">
      <c r="A13" s="262" t="s">
        <v>218</v>
      </c>
      <c r="B13" s="123"/>
      <c r="C13" s="49">
        <f>+C7</f>
      </c>
      <c r="D13" s="49">
        <f>+D7</f>
      </c>
      <c r="E13" s="49">
        <f>+E7</f>
      </c>
      <c r="F13" s="49">
        <f>+F7</f>
      </c>
      <c r="G13" s="49">
        <f>+G7</f>
      </c>
      <c r="H13" s="49">
        <f>+H7</f>
      </c>
    </row>
    <row x14ac:dyDescent="0.25" r="14" customHeight="1" ht="18.75">
      <c r="A14" s="263" t="s">
        <v>219</v>
      </c>
      <c r="B14" s="123"/>
      <c r="C14" s="201">
        <f>IF(+'Cash Flow'!C12&gt;0,'Cash Flow'!C12,0)</f>
      </c>
      <c r="D14" s="201">
        <f>IF(+'Cash Flow'!D12&gt;0,'Cash Flow'!D12,0)</f>
      </c>
      <c r="E14" s="201">
        <f>IF(+'Cash Flow'!E12&gt;0,'Cash Flow'!E12,0)</f>
      </c>
      <c r="F14" s="201">
        <f>IF(+'Cash Flow'!F12&gt;0,'Cash Flow'!F12,0)</f>
      </c>
      <c r="G14" s="201">
        <f>IF(+'Cash Flow'!G12&gt;0,'Cash Flow'!G12,0)</f>
      </c>
      <c r="H14" s="201">
        <f>IF(+'Cash Flow'!H12&gt;0,'Cash Flow'!H12,0)</f>
      </c>
    </row>
    <row x14ac:dyDescent="0.25" r="15" customHeight="1" ht="18.75">
      <c r="A15" s="263" t="s">
        <v>220</v>
      </c>
      <c r="B15" s="123"/>
      <c r="C15" s="29">
        <f>0.25*C10</f>
      </c>
      <c r="D15" s="29"/>
      <c r="E15" s="29"/>
      <c r="F15" s="29"/>
      <c r="G15" s="29"/>
      <c r="H15" s="29"/>
    </row>
    <row x14ac:dyDescent="0.25" r="16" customHeight="1" ht="18.75">
      <c r="A16" s="263" t="s">
        <v>156</v>
      </c>
      <c r="B16" s="123"/>
      <c r="C16" s="29"/>
      <c r="D16" s="29"/>
      <c r="E16" s="29"/>
      <c r="F16" s="29"/>
      <c r="G16" s="29"/>
      <c r="H16" s="29"/>
    </row>
    <row x14ac:dyDescent="0.25" r="17" customHeight="1" ht="18.75">
      <c r="A17" s="263" t="s">
        <v>221</v>
      </c>
      <c r="B17" s="123"/>
      <c r="C17" s="29"/>
      <c r="D17" s="29"/>
      <c r="E17" s="29"/>
      <c r="F17" s="29"/>
      <c r="G17" s="29"/>
      <c r="H17" s="29"/>
    </row>
    <row x14ac:dyDescent="0.25" r="18" customHeight="1" ht="18.75">
      <c r="A18" s="263" t="s">
        <v>222</v>
      </c>
      <c r="B18" s="215"/>
      <c r="C18" s="268">
        <f>+C10-C15-C16-C17-C19</f>
      </c>
      <c r="D18" s="268">
        <f>0.5*FundoManeio!D24</f>
      </c>
      <c r="E18" s="268"/>
      <c r="F18" s="268"/>
      <c r="G18" s="268"/>
      <c r="H18" s="268"/>
    </row>
    <row x14ac:dyDescent="0.25" r="19" customHeight="1" ht="18.75">
      <c r="A19" s="269" t="s">
        <v>223</v>
      </c>
      <c r="B19" s="221"/>
      <c r="C19" s="270"/>
      <c r="D19" s="270"/>
      <c r="E19" s="270"/>
      <c r="F19" s="270"/>
      <c r="G19" s="270"/>
      <c r="H19" s="270"/>
    </row>
    <row x14ac:dyDescent="0.25" r="20" customHeight="1" ht="14.25">
      <c r="A20" s="271" t="s">
        <v>224</v>
      </c>
      <c r="B20" s="219"/>
      <c r="C20" s="220">
        <f>SUM(C14:C19)</f>
      </c>
      <c r="D20" s="220">
        <f>SUM(D14:D19)</f>
      </c>
      <c r="E20" s="220">
        <f>SUM(E14:E19)</f>
      </c>
      <c r="F20" s="220">
        <f>SUM(F14:F19)</f>
      </c>
      <c r="G20" s="220">
        <f>SUM(G14:G19)</f>
      </c>
      <c r="H20" s="220">
        <f>SUM(H14:H19)</f>
      </c>
    </row>
    <row x14ac:dyDescent="0.25" r="21" customHeight="1" ht="18.75">
      <c r="A21" s="38"/>
      <c r="B21" s="12"/>
      <c r="C21" s="272"/>
      <c r="D21" s="272"/>
      <c r="E21" s="272"/>
      <c r="F21" s="272"/>
      <c r="G21" s="272"/>
      <c r="H21" s="272"/>
    </row>
    <row x14ac:dyDescent="0.25" r="22" customHeight="1" ht="18.75">
      <c r="A22" s="38" t="s">
        <v>225</v>
      </c>
      <c r="B22" s="273"/>
      <c r="C22" s="274"/>
      <c r="D22" s="274"/>
      <c r="E22" s="274"/>
      <c r="F22" s="274"/>
      <c r="G22" s="274"/>
      <c r="H22" s="274"/>
    </row>
    <row x14ac:dyDescent="0.25" r="23" customHeight="1" ht="18.75">
      <c r="A23" s="38" t="s">
        <v>226</v>
      </c>
      <c r="B23" s="275"/>
      <c r="C23" s="274"/>
      <c r="D23" s="274"/>
      <c r="E23" s="274"/>
      <c r="F23" s="274"/>
      <c r="G23" s="274"/>
      <c r="H23" s="274"/>
    </row>
    <row x14ac:dyDescent="0.25" r="24" customHeight="1" ht="18.75">
      <c r="A24" s="38" t="s">
        <v>227</v>
      </c>
      <c r="B24" s="273"/>
      <c r="C24" s="274"/>
      <c r="D24" s="274"/>
      <c r="E24" s="274"/>
      <c r="F24" s="274"/>
      <c r="G24" s="274"/>
      <c r="H24" s="274"/>
    </row>
    <row x14ac:dyDescent="0.25" r="25" customHeight="1" ht="18.75">
      <c r="A25" s="38"/>
      <c r="B25" s="12"/>
      <c r="C25" s="38"/>
      <c r="D25" s="38"/>
      <c r="E25" s="38"/>
      <c r="F25" s="38"/>
      <c r="G25" s="38"/>
      <c r="H25" s="38"/>
    </row>
    <row x14ac:dyDescent="0.25" r="26" customHeight="1" ht="18.75">
      <c r="A26" s="212">
        <f>+C13</f>
      </c>
      <c r="B26" s="12"/>
      <c r="C26" s="38"/>
      <c r="D26" s="38"/>
      <c r="E26" s="38"/>
      <c r="F26" s="38"/>
      <c r="G26" s="38"/>
      <c r="H26" s="38"/>
    </row>
    <row x14ac:dyDescent="0.25" r="27" customHeight="1" ht="18.75">
      <c r="A27" s="263" t="s">
        <v>228</v>
      </c>
      <c r="B27" s="215"/>
      <c r="C27" s="276">
        <f>+C18</f>
      </c>
      <c r="D27" s="201">
        <f>+C33</f>
      </c>
      <c r="E27" s="201">
        <f>+D33</f>
      </c>
      <c r="F27" s="201">
        <f>+E33</f>
      </c>
      <c r="G27" s="201">
        <f>+F33</f>
      </c>
      <c r="H27" s="201">
        <f>+G33</f>
      </c>
    </row>
    <row x14ac:dyDescent="0.25" r="28" customHeight="1" ht="18.75">
      <c r="A28" s="263" t="s">
        <v>229</v>
      </c>
      <c r="B28" s="215"/>
      <c r="C28" s="200">
        <f>$B$23</f>
      </c>
      <c r="D28" s="200">
        <f>$B$23</f>
      </c>
      <c r="E28" s="200">
        <f>$B$23</f>
      </c>
      <c r="F28" s="200">
        <f>$B$23</f>
      </c>
      <c r="G28" s="200">
        <f>$B$23</f>
      </c>
      <c r="H28" s="200">
        <f>$B$23</f>
      </c>
    </row>
    <row x14ac:dyDescent="0.25" r="29" customHeight="1" ht="18.75">
      <c r="A29" s="263" t="s">
        <v>230</v>
      </c>
      <c r="B29" s="215"/>
      <c r="C29" s="201">
        <f>+C27*C28*FSE!F8/12</f>
      </c>
      <c r="D29" s="201">
        <f>+D27*D28</f>
      </c>
      <c r="E29" s="201">
        <f>+E27*E28</f>
      </c>
      <c r="F29" s="201">
        <f>+F27*F28</f>
      </c>
      <c r="G29" s="201">
        <f>+G27*G28</f>
      </c>
      <c r="H29" s="201">
        <f>+H27*H28</f>
      </c>
    </row>
    <row x14ac:dyDescent="0.25" r="30" customHeight="1" ht="18.75">
      <c r="A30" s="263" t="s">
        <v>231</v>
      </c>
      <c r="B30" s="215"/>
      <c r="C30" s="201">
        <f>IF(B24&gt;=0,0,C27/B22)</f>
      </c>
      <c r="D30" s="201">
        <f>IF(B24&gt;=1,0,IF(C27=0,0,+$C$27/$B$22))</f>
      </c>
      <c r="E30" s="201">
        <f>IF(B24&gt;=2,0,IF(D33&lt;=0,0,+$C$27/$B$22))</f>
      </c>
      <c r="F30" s="201">
        <f>IF(B24&gt;=3,0,IF(E33&lt;=0,0,+$C$27/$B$22))</f>
      </c>
      <c r="G30" s="201">
        <f>IF(B24&gt;=4,0,IF(F33&lt;=0,0,+$C$27/$B$22))</f>
      </c>
      <c r="H30" s="201">
        <f>IF(B24&gt;=5,0,IF(G33&lt;=0,0,+$C$27/$B$22))</f>
      </c>
    </row>
    <row x14ac:dyDescent="0.25" r="31" customHeight="1" ht="18.75">
      <c r="A31" s="263" t="s">
        <v>232</v>
      </c>
      <c r="B31" s="215"/>
      <c r="C31" s="201">
        <f>+C29*0.04</f>
      </c>
      <c r="D31" s="201">
        <f>+D29*0.04</f>
      </c>
      <c r="E31" s="201">
        <f>+E29*0.04</f>
      </c>
      <c r="F31" s="201">
        <f>+F29*0.04</f>
      </c>
      <c r="G31" s="201">
        <f>+G29*0.04</f>
      </c>
      <c r="H31" s="201">
        <f>+H29*0.04</f>
      </c>
    </row>
    <row x14ac:dyDescent="0.25" r="32" customHeight="1" ht="18.75">
      <c r="A32" s="263" t="s">
        <v>233</v>
      </c>
      <c r="B32" s="215"/>
      <c r="C32" s="201">
        <f>+C29+C30+C31</f>
      </c>
      <c r="D32" s="201">
        <f>+D29+D30+D31</f>
      </c>
      <c r="E32" s="201">
        <f>+E29+E30+E31</f>
      </c>
      <c r="F32" s="201">
        <f>+F29+F30+F31</f>
      </c>
      <c r="G32" s="201">
        <f>+G29+G30+G31</f>
      </c>
      <c r="H32" s="201">
        <f>+H29+H30+H31</f>
      </c>
    </row>
    <row x14ac:dyDescent="0.25" r="33" customHeight="1" ht="18.75">
      <c r="A33" s="263" t="s">
        <v>234</v>
      </c>
      <c r="B33" s="215"/>
      <c r="C33" s="201">
        <f>+C27-C30</f>
      </c>
      <c r="D33" s="201">
        <f>+D27-D30</f>
      </c>
      <c r="E33" s="201">
        <f>+E27-E30</f>
      </c>
      <c r="F33" s="201">
        <f>+F27-F30</f>
      </c>
      <c r="G33" s="201">
        <f>+G27-G30</f>
      </c>
      <c r="H33" s="201">
        <f>+H27-H30</f>
      </c>
    </row>
    <row x14ac:dyDescent="0.25" r="34" customHeight="1" ht="18.75">
      <c r="A34" s="38"/>
      <c r="B34" s="12"/>
      <c r="C34" s="38"/>
      <c r="D34" s="38"/>
      <c r="E34" s="38"/>
      <c r="F34" s="38"/>
      <c r="G34" s="38"/>
      <c r="H34" s="38"/>
    </row>
    <row x14ac:dyDescent="0.25" r="35" customHeight="1" ht="18.75">
      <c r="A35" s="38" t="s">
        <v>225</v>
      </c>
      <c r="B35" s="273"/>
      <c r="C35" s="38"/>
      <c r="D35" s="38"/>
      <c r="E35" s="38"/>
      <c r="F35" s="38"/>
      <c r="G35" s="38"/>
      <c r="H35" s="38"/>
    </row>
    <row x14ac:dyDescent="0.25" r="36" customHeight="1" ht="18.75">
      <c r="A36" s="38" t="s">
        <v>226</v>
      </c>
      <c r="B36" s="275"/>
      <c r="C36" s="38"/>
      <c r="D36" s="38"/>
      <c r="E36" s="38"/>
      <c r="F36" s="38"/>
      <c r="G36" s="38"/>
      <c r="H36" s="38"/>
    </row>
    <row x14ac:dyDescent="0.25" r="37" customHeight="1" ht="18.75">
      <c r="A37" s="38" t="s">
        <v>227</v>
      </c>
      <c r="B37" s="273"/>
      <c r="C37" s="38"/>
      <c r="D37" s="38"/>
      <c r="E37" s="38"/>
      <c r="F37" s="38"/>
      <c r="G37" s="38"/>
      <c r="H37" s="38"/>
    </row>
    <row x14ac:dyDescent="0.25" r="38" customHeight="1" ht="18.75">
      <c r="A38" s="38"/>
      <c r="B38" s="12"/>
      <c r="C38" s="38"/>
      <c r="D38" s="38"/>
      <c r="E38" s="38"/>
      <c r="F38" s="38"/>
      <c r="G38" s="38"/>
      <c r="H38" s="38"/>
    </row>
    <row x14ac:dyDescent="0.25" r="39" customHeight="1" ht="18.75">
      <c r="A39" s="212">
        <f>+D13</f>
      </c>
      <c r="B39" s="12"/>
      <c r="C39" s="38"/>
      <c r="D39" s="38"/>
      <c r="E39" s="38"/>
      <c r="F39" s="38"/>
      <c r="G39" s="38"/>
      <c r="H39" s="38"/>
    </row>
    <row x14ac:dyDescent="0.25" r="40" customHeight="1" ht="18.75">
      <c r="A40" s="263" t="s">
        <v>228</v>
      </c>
      <c r="B40" s="215"/>
      <c r="C40" s="276"/>
      <c r="D40" s="201">
        <f>+D18</f>
      </c>
      <c r="E40" s="201">
        <f>+D46</f>
      </c>
      <c r="F40" s="201">
        <f>+E46</f>
      </c>
      <c r="G40" s="201">
        <f>+F46</f>
      </c>
      <c r="H40" s="201">
        <f>+G46</f>
      </c>
    </row>
    <row x14ac:dyDescent="0.25" r="41" customHeight="1" ht="18.75">
      <c r="A41" s="263" t="s">
        <v>229</v>
      </c>
      <c r="B41" s="215"/>
      <c r="C41" s="277"/>
      <c r="D41" s="200">
        <f>$B$36</f>
      </c>
      <c r="E41" s="200">
        <f>$B$36</f>
      </c>
      <c r="F41" s="200">
        <f>$B$36</f>
      </c>
      <c r="G41" s="200">
        <f>$B$36</f>
      </c>
      <c r="H41" s="200">
        <f>$B$36</f>
      </c>
    </row>
    <row x14ac:dyDescent="0.25" r="42" customHeight="1" ht="18.75">
      <c r="A42" s="263" t="s">
        <v>230</v>
      </c>
      <c r="B42" s="215"/>
      <c r="C42" s="278"/>
      <c r="D42" s="201">
        <f>+D40*D41</f>
      </c>
      <c r="E42" s="201">
        <f>+E40*E41</f>
      </c>
      <c r="F42" s="201">
        <f>+F40*F41</f>
      </c>
      <c r="G42" s="201">
        <f>+G40*G41</f>
      </c>
      <c r="H42" s="201">
        <f>+H40*H41</f>
      </c>
    </row>
    <row x14ac:dyDescent="0.25" r="43" customHeight="1" ht="18.75">
      <c r="A43" s="263" t="s">
        <v>231</v>
      </c>
      <c r="B43" s="215"/>
      <c r="C43" s="278"/>
      <c r="D43" s="201">
        <f>IF(B37&gt;=0,0,D40/B35)</f>
      </c>
      <c r="E43" s="201">
        <f>IF(B37&gt;=1,0,IF(D46&lt;=0,0,+$D$40/$B$35))</f>
      </c>
      <c r="F43" s="201">
        <f>IF(B37&gt;=2,0,IF(E46&lt;=0,0,+$D$40/$B$35))</f>
      </c>
      <c r="G43" s="201">
        <f>IF(B37&gt;=3,0,IF(F46&lt;=0,0,+$D$40/$B$35))</f>
      </c>
      <c r="H43" s="201">
        <f>IF(B37&gt;=4,0,IF(G46&lt;=0,0,+$D$40/$B$35))</f>
      </c>
    </row>
    <row x14ac:dyDescent="0.25" r="44" customHeight="1" ht="18.75">
      <c r="A44" s="263" t="s">
        <v>232</v>
      </c>
      <c r="B44" s="215"/>
      <c r="C44" s="278"/>
      <c r="D44" s="201">
        <f>+D42*0.04</f>
      </c>
      <c r="E44" s="201">
        <f>+E42*0.04</f>
      </c>
      <c r="F44" s="201">
        <f>+F42*0.04</f>
      </c>
      <c r="G44" s="201">
        <f>+G42*0.04</f>
      </c>
      <c r="H44" s="201">
        <f>+H42*0.04</f>
      </c>
    </row>
    <row x14ac:dyDescent="0.25" r="45" customHeight="1" ht="18.75">
      <c r="A45" s="263" t="s">
        <v>233</v>
      </c>
      <c r="B45" s="215"/>
      <c r="C45" s="278"/>
      <c r="D45" s="201">
        <f>+D42+D43+D44</f>
      </c>
      <c r="E45" s="201">
        <f>+E42+E43+E44</f>
      </c>
      <c r="F45" s="201">
        <f>+F42+F43+F44</f>
      </c>
      <c r="G45" s="201">
        <f>+G42+G43+G44</f>
      </c>
      <c r="H45" s="201">
        <f>+H42+H43+H44</f>
      </c>
    </row>
    <row x14ac:dyDescent="0.25" r="46" customHeight="1" ht="18.75">
      <c r="A46" s="263" t="s">
        <v>234</v>
      </c>
      <c r="B46" s="215"/>
      <c r="C46" s="278"/>
      <c r="D46" s="201">
        <f>+D40-D43</f>
      </c>
      <c r="E46" s="201">
        <f>+E40-E43</f>
      </c>
      <c r="F46" s="201">
        <f>+F40-F43</f>
      </c>
      <c r="G46" s="201">
        <f>+G40-G43</f>
      </c>
      <c r="H46" s="201">
        <f>+H40-H43</f>
      </c>
    </row>
    <row x14ac:dyDescent="0.25" r="47" customHeight="1" ht="18.75">
      <c r="A47" s="38"/>
      <c r="B47" s="12"/>
      <c r="C47" s="38"/>
      <c r="D47" s="38"/>
      <c r="E47" s="38"/>
      <c r="F47" s="38"/>
      <c r="G47" s="38"/>
      <c r="H47" s="38"/>
    </row>
    <row x14ac:dyDescent="0.25" r="48" customHeight="1" ht="18.75">
      <c r="A48" s="38" t="s">
        <v>225</v>
      </c>
      <c r="B48" s="273"/>
      <c r="C48" s="38"/>
      <c r="D48" s="38"/>
      <c r="E48" s="38"/>
      <c r="F48" s="38"/>
      <c r="G48" s="38"/>
      <c r="H48" s="38"/>
    </row>
    <row x14ac:dyDescent="0.25" r="49" customHeight="1" ht="18.75">
      <c r="A49" s="38" t="s">
        <v>226</v>
      </c>
      <c r="B49" s="279"/>
      <c r="C49" s="38"/>
      <c r="D49" s="38"/>
      <c r="E49" s="38"/>
      <c r="F49" s="38"/>
      <c r="G49" s="38"/>
      <c r="H49" s="38"/>
    </row>
    <row x14ac:dyDescent="0.25" r="50" customHeight="1" ht="18.75">
      <c r="A50" s="38" t="s">
        <v>227</v>
      </c>
      <c r="B50" s="273"/>
      <c r="C50" s="38"/>
      <c r="D50" s="38"/>
      <c r="E50" s="38"/>
      <c r="F50" s="38"/>
      <c r="G50" s="38"/>
      <c r="H50" s="38"/>
    </row>
    <row x14ac:dyDescent="0.25" r="51" customHeight="1" ht="18.75">
      <c r="A51" s="38"/>
      <c r="B51" s="12"/>
      <c r="C51" s="38"/>
      <c r="D51" s="38"/>
      <c r="E51" s="38"/>
      <c r="F51" s="38"/>
      <c r="G51" s="38"/>
      <c r="H51" s="38"/>
    </row>
    <row x14ac:dyDescent="0.25" r="52" customHeight="1" ht="18.75">
      <c r="A52" s="212">
        <f>+E13</f>
      </c>
      <c r="B52" s="12"/>
      <c r="C52" s="38"/>
      <c r="D52" s="38"/>
      <c r="E52" s="38"/>
      <c r="F52" s="38"/>
      <c r="G52" s="38"/>
      <c r="H52" s="38"/>
    </row>
    <row x14ac:dyDescent="0.25" r="53" customHeight="1" ht="18.75">
      <c r="A53" s="263" t="s">
        <v>228</v>
      </c>
      <c r="B53" s="215"/>
      <c r="C53" s="276"/>
      <c r="D53" s="276"/>
      <c r="E53" s="201">
        <f>+E18</f>
      </c>
      <c r="F53" s="201">
        <f>+E59</f>
      </c>
      <c r="G53" s="201">
        <f>+F59</f>
      </c>
      <c r="H53" s="201">
        <f>+G59</f>
      </c>
    </row>
    <row x14ac:dyDescent="0.25" r="54" customHeight="1" ht="18.75">
      <c r="A54" s="263" t="s">
        <v>229</v>
      </c>
      <c r="B54" s="215"/>
      <c r="C54" s="277"/>
      <c r="D54" s="277"/>
      <c r="E54" s="200">
        <f>$B$49</f>
      </c>
      <c r="F54" s="200">
        <f>$B$49</f>
      </c>
      <c r="G54" s="200">
        <f>$B$49</f>
      </c>
      <c r="H54" s="200">
        <f>$B$49</f>
      </c>
    </row>
    <row x14ac:dyDescent="0.25" r="55" customHeight="1" ht="18.75">
      <c r="A55" s="263" t="s">
        <v>230</v>
      </c>
      <c r="B55" s="215"/>
      <c r="C55" s="278"/>
      <c r="D55" s="231"/>
      <c r="E55" s="201">
        <f>+E53*E54</f>
      </c>
      <c r="F55" s="201">
        <f>+F53*F54</f>
      </c>
      <c r="G55" s="201">
        <f>+G53*G54</f>
      </c>
      <c r="H55" s="201">
        <f>+H53*H54</f>
      </c>
    </row>
    <row x14ac:dyDescent="0.25" r="56" customHeight="1" ht="18.75">
      <c r="A56" s="263" t="s">
        <v>231</v>
      </c>
      <c r="B56" s="215"/>
      <c r="C56" s="278"/>
      <c r="D56" s="231"/>
      <c r="E56" s="201">
        <f>IF(B50&gt;=0,0,E53/B48)</f>
      </c>
      <c r="F56" s="201">
        <f>IF(B50&gt;=1,0,IF(E59&lt;=9,0,$E$53/$B$48))</f>
      </c>
      <c r="G56" s="201">
        <f>IF(B50&gt;=2,0,IF(F59&lt;=9,0,$E$53/$B$48))</f>
      </c>
      <c r="H56" s="201">
        <f>IF(B50&gt;=3,0,IF(G59&lt;=9,0,$E$53/$B$48))</f>
      </c>
    </row>
    <row x14ac:dyDescent="0.25" r="57" customHeight="1" ht="18.75">
      <c r="A57" s="263" t="s">
        <v>232</v>
      </c>
      <c r="B57" s="215"/>
      <c r="C57" s="278"/>
      <c r="D57" s="231"/>
      <c r="E57" s="201">
        <f>+E55*0.04</f>
      </c>
      <c r="F57" s="201">
        <f>+F55*0.04</f>
      </c>
      <c r="G57" s="201">
        <f>+G55*0.04</f>
      </c>
      <c r="H57" s="201">
        <f>+H55*0.04</f>
      </c>
    </row>
    <row x14ac:dyDescent="0.25" r="58" customHeight="1" ht="18.75">
      <c r="A58" s="263" t="s">
        <v>233</v>
      </c>
      <c r="B58" s="215"/>
      <c r="C58" s="278"/>
      <c r="D58" s="231"/>
      <c r="E58" s="201">
        <f>+E55+E56+E57</f>
      </c>
      <c r="F58" s="201">
        <f>+F55+F56+F57</f>
      </c>
      <c r="G58" s="201">
        <f>+G55+G56+G57</f>
      </c>
      <c r="H58" s="201">
        <f>+H55+H56+H57</f>
      </c>
    </row>
    <row x14ac:dyDescent="0.25" r="59" customHeight="1" ht="18.75">
      <c r="A59" s="263" t="s">
        <v>235</v>
      </c>
      <c r="B59" s="215"/>
      <c r="C59" s="278"/>
      <c r="D59" s="231"/>
      <c r="E59" s="201">
        <f>+E53-E56</f>
      </c>
      <c r="F59" s="201">
        <f>+F53-F56</f>
      </c>
      <c r="G59" s="201">
        <f>+G53-G56</f>
      </c>
      <c r="H59" s="201">
        <f>+H53-H56</f>
      </c>
    </row>
    <row x14ac:dyDescent="0.25" r="60" customHeight="1" ht="18.75">
      <c r="A60" s="38"/>
      <c r="B60" s="12"/>
      <c r="C60" s="38"/>
      <c r="D60" s="38"/>
      <c r="E60" s="38"/>
      <c r="F60" s="38"/>
      <c r="G60" s="38"/>
      <c r="H60" s="38"/>
    </row>
    <row x14ac:dyDescent="0.25" r="61" customHeight="1" ht="18.75">
      <c r="A61" s="38" t="s">
        <v>225</v>
      </c>
      <c r="B61" s="273"/>
      <c r="C61" s="38"/>
      <c r="D61" s="38"/>
      <c r="E61" s="38"/>
      <c r="F61" s="38"/>
      <c r="G61" s="38"/>
      <c r="H61" s="38"/>
    </row>
    <row x14ac:dyDescent="0.25" r="62" customHeight="1" ht="18.75">
      <c r="A62" s="38" t="s">
        <v>226</v>
      </c>
      <c r="B62" s="279"/>
      <c r="C62" s="38"/>
      <c r="D62" s="38"/>
      <c r="E62" s="38"/>
      <c r="F62" s="38"/>
      <c r="G62" s="38"/>
      <c r="H62" s="38"/>
    </row>
    <row x14ac:dyDescent="0.25" r="63" customHeight="1" ht="18.75">
      <c r="A63" s="38" t="s">
        <v>227</v>
      </c>
      <c r="B63" s="273"/>
      <c r="C63" s="38"/>
      <c r="D63" s="38"/>
      <c r="E63" s="38"/>
      <c r="F63" s="38"/>
      <c r="G63" s="38"/>
      <c r="H63" s="38"/>
    </row>
    <row x14ac:dyDescent="0.25" r="64" customHeight="1" ht="18.75">
      <c r="A64" s="38"/>
      <c r="B64" s="22"/>
      <c r="C64" s="38"/>
      <c r="D64" s="38"/>
      <c r="E64" s="38"/>
      <c r="F64" s="38"/>
      <c r="G64" s="38"/>
      <c r="H64" s="38"/>
    </row>
    <row x14ac:dyDescent="0.25" r="65" customHeight="1" ht="18.75">
      <c r="A65" s="212">
        <f>+F13</f>
      </c>
      <c r="B65" s="12"/>
      <c r="C65" s="38"/>
      <c r="D65" s="38"/>
      <c r="E65" s="38"/>
      <c r="F65" s="38"/>
      <c r="G65" s="38"/>
      <c r="H65" s="38"/>
    </row>
    <row x14ac:dyDescent="0.25" r="66" customHeight="1" ht="18.75">
      <c r="A66" s="263" t="s">
        <v>228</v>
      </c>
      <c r="B66" s="215"/>
      <c r="C66" s="276"/>
      <c r="D66" s="276"/>
      <c r="E66" s="276"/>
      <c r="F66" s="201">
        <f>+F18</f>
      </c>
      <c r="G66" s="201">
        <f>+F72</f>
      </c>
      <c r="H66" s="201">
        <f>+G72</f>
      </c>
    </row>
    <row x14ac:dyDescent="0.25" r="67" customHeight="1" ht="18.75">
      <c r="A67" s="263" t="s">
        <v>229</v>
      </c>
      <c r="B67" s="215"/>
      <c r="C67" s="277"/>
      <c r="D67" s="277"/>
      <c r="E67" s="277"/>
      <c r="F67" s="200">
        <f>$B$62</f>
      </c>
      <c r="G67" s="200">
        <f>$B$62</f>
      </c>
      <c r="H67" s="200">
        <f>$B$62</f>
      </c>
    </row>
    <row x14ac:dyDescent="0.25" r="68" customHeight="1" ht="18.75">
      <c r="A68" s="263" t="s">
        <v>230</v>
      </c>
      <c r="B68" s="215"/>
      <c r="C68" s="278"/>
      <c r="D68" s="231"/>
      <c r="E68" s="231"/>
      <c r="F68" s="201">
        <f>+F66*F67</f>
      </c>
      <c r="G68" s="201">
        <f>+G66*G67</f>
      </c>
      <c r="H68" s="201">
        <f>+H66*H67</f>
      </c>
    </row>
    <row x14ac:dyDescent="0.25" r="69" customHeight="1" ht="18.75">
      <c r="A69" s="263" t="s">
        <v>231</v>
      </c>
      <c r="B69" s="215"/>
      <c r="C69" s="278"/>
      <c r="D69" s="231"/>
      <c r="E69" s="231"/>
      <c r="F69" s="201">
        <f>IF(B63&gt;=0,0,F66/B61)</f>
      </c>
      <c r="G69" s="201">
        <f>IF(B63&gt;=1,0,IF(F72&lt;=0,0,$F$66/$B$61))</f>
      </c>
      <c r="H69" s="201">
        <f>IF(B63&gt;=2,0,IF(G72&lt;=0,0,$F$66/$B$61))</f>
      </c>
    </row>
    <row x14ac:dyDescent="0.25" r="70" customHeight="1" ht="18.75">
      <c r="A70" s="263" t="s">
        <v>232</v>
      </c>
      <c r="B70" s="215"/>
      <c r="C70" s="278"/>
      <c r="D70" s="231"/>
      <c r="E70" s="231"/>
      <c r="F70" s="201">
        <f>+F68*0.04</f>
      </c>
      <c r="G70" s="201">
        <f>+G68*0.04</f>
      </c>
      <c r="H70" s="201">
        <f>+H68*0.04</f>
      </c>
    </row>
    <row x14ac:dyDescent="0.25" r="71" customHeight="1" ht="18.75">
      <c r="A71" s="263" t="s">
        <v>233</v>
      </c>
      <c r="B71" s="215"/>
      <c r="C71" s="278"/>
      <c r="D71" s="231"/>
      <c r="E71" s="231"/>
      <c r="F71" s="201">
        <f>+F68+F69+F70</f>
      </c>
      <c r="G71" s="201">
        <f>+G68+G69+G70</f>
      </c>
      <c r="H71" s="201">
        <f>+H68+H69+H70</f>
      </c>
    </row>
    <row x14ac:dyDescent="0.25" r="72" customHeight="1" ht="18.75">
      <c r="A72" s="263" t="s">
        <v>234</v>
      </c>
      <c r="B72" s="215"/>
      <c r="C72" s="278"/>
      <c r="D72" s="231"/>
      <c r="E72" s="231"/>
      <c r="F72" s="201">
        <f>+F66-F69</f>
      </c>
      <c r="G72" s="201">
        <f>+G66-G69</f>
      </c>
      <c r="H72" s="201">
        <f>+H66-H69</f>
      </c>
    </row>
    <row x14ac:dyDescent="0.25" r="73" customHeight="1" ht="18.75">
      <c r="A73" s="38"/>
      <c r="B73" s="12"/>
      <c r="C73" s="38"/>
      <c r="D73" s="38"/>
      <c r="E73" s="38"/>
      <c r="F73" s="38"/>
      <c r="G73" s="38"/>
      <c r="H73" s="38"/>
    </row>
    <row x14ac:dyDescent="0.25" r="74" customHeight="1" ht="18.75">
      <c r="A74" s="38" t="s">
        <v>225</v>
      </c>
      <c r="B74" s="273"/>
      <c r="C74" s="38"/>
      <c r="D74" s="38"/>
      <c r="E74" s="38"/>
      <c r="F74" s="38"/>
      <c r="G74" s="38"/>
      <c r="H74" s="38"/>
    </row>
    <row x14ac:dyDescent="0.25" r="75" customHeight="1" ht="18.75">
      <c r="A75" s="38" t="s">
        <v>226</v>
      </c>
      <c r="B75" s="279"/>
      <c r="C75" s="38"/>
      <c r="D75" s="38"/>
      <c r="E75" s="38"/>
      <c r="F75" s="38"/>
      <c r="G75" s="38"/>
      <c r="H75" s="38"/>
    </row>
    <row x14ac:dyDescent="0.25" r="76" customHeight="1" ht="18.75">
      <c r="A76" s="38" t="s">
        <v>227</v>
      </c>
      <c r="B76" s="273"/>
      <c r="C76" s="38"/>
      <c r="D76" s="38"/>
      <c r="E76" s="38"/>
      <c r="F76" s="38"/>
      <c r="G76" s="38"/>
      <c r="H76" s="38"/>
    </row>
    <row x14ac:dyDescent="0.25" r="77" customHeight="1" ht="18.75">
      <c r="A77" s="38"/>
      <c r="B77" s="12"/>
      <c r="C77" s="38"/>
      <c r="D77" s="38"/>
      <c r="E77" s="38"/>
      <c r="F77" s="38"/>
      <c r="G77" s="38"/>
      <c r="H77" s="38"/>
    </row>
    <row x14ac:dyDescent="0.25" r="78" customHeight="1" ht="18.75">
      <c r="A78" s="212">
        <f>+G13</f>
      </c>
      <c r="B78" s="12"/>
      <c r="C78" s="38"/>
      <c r="D78" s="38"/>
      <c r="E78" s="38"/>
      <c r="F78" s="38"/>
      <c r="G78" s="38"/>
      <c r="H78" s="38"/>
    </row>
    <row x14ac:dyDescent="0.25" r="79" customHeight="1" ht="18.75">
      <c r="A79" s="263" t="s">
        <v>228</v>
      </c>
      <c r="B79" s="215"/>
      <c r="C79" s="276"/>
      <c r="D79" s="276"/>
      <c r="E79" s="231"/>
      <c r="F79" s="276"/>
      <c r="G79" s="201">
        <f>+G18</f>
      </c>
      <c r="H79" s="201">
        <f>+G85</f>
      </c>
    </row>
    <row x14ac:dyDescent="0.25" r="80" customHeight="1" ht="18.75">
      <c r="A80" s="263" t="s">
        <v>229</v>
      </c>
      <c r="B80" s="215"/>
      <c r="C80" s="277"/>
      <c r="D80" s="277"/>
      <c r="E80" s="277"/>
      <c r="F80" s="277"/>
      <c r="G80" s="200">
        <f>B75</f>
      </c>
      <c r="H80" s="200">
        <f>B75</f>
      </c>
    </row>
    <row x14ac:dyDescent="0.25" r="81" customHeight="1" ht="18.75">
      <c r="A81" s="263" t="s">
        <v>230</v>
      </c>
      <c r="B81" s="215"/>
      <c r="C81" s="278"/>
      <c r="D81" s="231"/>
      <c r="E81" s="231"/>
      <c r="F81" s="231"/>
      <c r="G81" s="201">
        <f>+G79*G80</f>
      </c>
      <c r="H81" s="201">
        <f>+H79*H80</f>
      </c>
    </row>
    <row x14ac:dyDescent="0.25" r="82" customHeight="1" ht="18.75">
      <c r="A82" s="263" t="s">
        <v>231</v>
      </c>
      <c r="B82" s="215"/>
      <c r="C82" s="278"/>
      <c r="D82" s="231"/>
      <c r="E82" s="231"/>
      <c r="F82" s="231"/>
      <c r="G82" s="201">
        <f>IF(B76&gt;=0,0,G79/B74)</f>
      </c>
      <c r="H82" s="201">
        <f>IF(B76&gt;=1,0,IF(G85&lt;=0,0,$G$79/B74))</f>
      </c>
    </row>
    <row x14ac:dyDescent="0.25" r="83" customHeight="1" ht="18.75">
      <c r="A83" s="263" t="s">
        <v>232</v>
      </c>
      <c r="B83" s="215"/>
      <c r="C83" s="278"/>
      <c r="D83" s="231"/>
      <c r="E83" s="231"/>
      <c r="F83" s="231"/>
      <c r="G83" s="201">
        <f>+G81*0.04</f>
      </c>
      <c r="H83" s="201">
        <f>+H81*0.04</f>
      </c>
    </row>
    <row x14ac:dyDescent="0.25" r="84" customHeight="1" ht="18.75">
      <c r="A84" s="263" t="s">
        <v>233</v>
      </c>
      <c r="B84" s="215"/>
      <c r="C84" s="278"/>
      <c r="D84" s="231"/>
      <c r="E84" s="231"/>
      <c r="F84" s="231"/>
      <c r="G84" s="201">
        <f>+G81+G82+G83</f>
      </c>
      <c r="H84" s="201">
        <f>+H81+H82+H83</f>
      </c>
    </row>
    <row x14ac:dyDescent="0.25" r="85" customHeight="1" ht="18.75">
      <c r="A85" s="263" t="s">
        <v>234</v>
      </c>
      <c r="B85" s="215"/>
      <c r="C85" s="278"/>
      <c r="D85" s="231"/>
      <c r="E85" s="231"/>
      <c r="F85" s="231"/>
      <c r="G85" s="201">
        <f>+G79-G82</f>
      </c>
      <c r="H85" s="201">
        <f>+H79-H82</f>
      </c>
    </row>
    <row x14ac:dyDescent="0.25" r="86" customHeight="1" ht="18.75">
      <c r="A86" s="38"/>
      <c r="B86" s="12"/>
      <c r="C86" s="38"/>
      <c r="D86" s="38"/>
      <c r="E86" s="38"/>
      <c r="F86" s="38"/>
      <c r="G86" s="38"/>
      <c r="H86" s="38"/>
    </row>
    <row x14ac:dyDescent="0.25" r="87" customHeight="1" ht="18.75">
      <c r="A87" s="38" t="s">
        <v>225</v>
      </c>
      <c r="B87" s="273"/>
      <c r="C87" s="38"/>
      <c r="D87" s="38"/>
      <c r="E87" s="38"/>
      <c r="F87" s="38"/>
      <c r="G87" s="38"/>
      <c r="H87" s="38"/>
    </row>
    <row x14ac:dyDescent="0.25" r="88" customHeight="1" ht="18.75">
      <c r="A88" s="38" t="s">
        <v>226</v>
      </c>
      <c r="B88" s="279"/>
      <c r="C88" s="38"/>
      <c r="D88" s="38"/>
      <c r="E88" s="38"/>
      <c r="F88" s="38"/>
      <c r="G88" s="38"/>
      <c r="H88" s="38"/>
    </row>
    <row x14ac:dyDescent="0.25" r="89" customHeight="1" ht="18.75">
      <c r="A89" s="38" t="s">
        <v>227</v>
      </c>
      <c r="B89" s="273"/>
      <c r="C89" s="38"/>
      <c r="D89" s="38"/>
      <c r="E89" s="38"/>
      <c r="F89" s="38"/>
      <c r="G89" s="38"/>
      <c r="H89" s="38"/>
    </row>
    <row x14ac:dyDescent="0.25" r="90" customHeight="1" ht="18.75">
      <c r="A90" s="38"/>
      <c r="B90" s="22"/>
      <c r="C90" s="38"/>
      <c r="D90" s="38"/>
      <c r="E90" s="38"/>
      <c r="F90" s="38"/>
      <c r="G90" s="38"/>
      <c r="H90" s="38"/>
    </row>
    <row x14ac:dyDescent="0.25" r="91" customHeight="1" ht="18.75">
      <c r="A91" s="212">
        <f>+H13</f>
      </c>
      <c r="B91" s="12"/>
      <c r="C91" s="38"/>
      <c r="D91" s="38"/>
      <c r="E91" s="38"/>
      <c r="F91" s="38"/>
      <c r="G91" s="38"/>
      <c r="H91" s="38"/>
    </row>
    <row x14ac:dyDescent="0.25" r="92" customHeight="1" ht="18.75">
      <c r="A92" s="263" t="s">
        <v>228</v>
      </c>
      <c r="B92" s="215"/>
      <c r="C92" s="276"/>
      <c r="D92" s="276"/>
      <c r="E92" s="276"/>
      <c r="F92" s="276"/>
      <c r="G92" s="276"/>
      <c r="H92" s="201">
        <f>+H18</f>
      </c>
    </row>
    <row x14ac:dyDescent="0.25" r="93" customHeight="1" ht="18.75">
      <c r="A93" s="263" t="s">
        <v>229</v>
      </c>
      <c r="B93" s="215"/>
      <c r="C93" s="277"/>
      <c r="D93" s="277"/>
      <c r="E93" s="277"/>
      <c r="F93" s="277"/>
      <c r="G93" s="277"/>
      <c r="H93" s="200">
        <f>B88</f>
      </c>
    </row>
    <row x14ac:dyDescent="0.25" r="94" customHeight="1" ht="18.75">
      <c r="A94" s="263" t="s">
        <v>230</v>
      </c>
      <c r="B94" s="215"/>
      <c r="C94" s="278"/>
      <c r="D94" s="231"/>
      <c r="E94" s="231"/>
      <c r="F94" s="231"/>
      <c r="G94" s="231"/>
      <c r="H94" s="201">
        <f>+H92*H93</f>
      </c>
    </row>
    <row x14ac:dyDescent="0.25" r="95" customHeight="1" ht="18.75">
      <c r="A95" s="263" t="s">
        <v>231</v>
      </c>
      <c r="B95" s="215"/>
      <c r="C95" s="278"/>
      <c r="D95" s="231"/>
      <c r="E95" s="231"/>
      <c r="F95" s="231"/>
      <c r="G95" s="231"/>
      <c r="H95" s="201">
        <f>IF(B89&gt;=0,0,H92/B87)</f>
      </c>
    </row>
    <row x14ac:dyDescent="0.25" r="96" customHeight="1" ht="18.75">
      <c r="A96" s="263" t="s">
        <v>232</v>
      </c>
      <c r="B96" s="215"/>
      <c r="C96" s="278"/>
      <c r="D96" s="231"/>
      <c r="E96" s="231"/>
      <c r="F96" s="231"/>
      <c r="G96" s="231"/>
      <c r="H96" s="201">
        <f>+H94*0.04</f>
      </c>
    </row>
    <row x14ac:dyDescent="0.25" r="97" customHeight="1" ht="18.75">
      <c r="A97" s="263" t="s">
        <v>233</v>
      </c>
      <c r="B97" s="215"/>
      <c r="C97" s="278"/>
      <c r="D97" s="231"/>
      <c r="E97" s="231"/>
      <c r="F97" s="231"/>
      <c r="G97" s="231"/>
      <c r="H97" s="201">
        <f>+H94+H95+H96</f>
      </c>
    </row>
    <row x14ac:dyDescent="0.25" r="98" customHeight="1" ht="18.75">
      <c r="A98" s="263" t="s">
        <v>234</v>
      </c>
      <c r="B98" s="215"/>
      <c r="C98" s="278"/>
      <c r="D98" s="231"/>
      <c r="E98" s="231"/>
      <c r="F98" s="231"/>
      <c r="G98" s="231"/>
      <c r="H98" s="201">
        <f>+H92-H95</f>
      </c>
    </row>
    <row x14ac:dyDescent="0.25" r="99" customHeight="1" ht="18.75">
      <c r="A99" s="38"/>
      <c r="B99" s="12"/>
      <c r="C99" s="38"/>
      <c r="D99" s="38"/>
      <c r="E99" s="38"/>
      <c r="F99" s="38"/>
      <c r="G99" s="38"/>
      <c r="H99" s="38"/>
    </row>
    <row x14ac:dyDescent="0.25" r="100" customHeight="1" ht="18.75">
      <c r="A100" s="38"/>
      <c r="B100" s="12"/>
      <c r="C100" s="38"/>
      <c r="D100" s="30"/>
      <c r="E100" s="38"/>
      <c r="F100" s="38"/>
      <c r="G100" s="38"/>
      <c r="H100" s="38"/>
    </row>
    <row x14ac:dyDescent="0.25" r="101" customHeight="1" ht="18.75">
      <c r="A101" s="262" t="s">
        <v>236</v>
      </c>
      <c r="B101" s="123"/>
      <c r="C101" s="201">
        <f>+C33+C46+C59+C72+C85+C98</f>
      </c>
      <c r="D101" s="201">
        <f>+D33+D46+D59+D72+D85+D98</f>
      </c>
      <c r="E101" s="201">
        <f>+E33+E46+E59+E72+E85+E98</f>
      </c>
      <c r="F101" s="201">
        <f>+F33+F46+F59+F72+F85+F98</f>
      </c>
      <c r="G101" s="201">
        <f>+G33+G46+G59+G72+G85+G98</f>
      </c>
      <c r="H101" s="201">
        <f>+H33+H46+H59+H72+H85+H98</f>
      </c>
    </row>
    <row x14ac:dyDescent="0.25" r="102" customHeight="1" ht="18.75">
      <c r="A102" s="38"/>
      <c r="B102" s="12"/>
      <c r="C102" s="38"/>
      <c r="D102" s="38"/>
      <c r="E102" s="38"/>
      <c r="F102" s="38"/>
      <c r="G102" s="38"/>
      <c r="H102" s="38"/>
    </row>
    <row x14ac:dyDescent="0.25" r="103" customHeight="1" ht="18.75">
      <c r="A103" s="262" t="s">
        <v>237</v>
      </c>
      <c r="B103" s="123"/>
      <c r="C103" s="201">
        <f>+C29+C42+C55+C68+C81+C94+C31+C44+C57+C70+C83+C96</f>
      </c>
      <c r="D103" s="201">
        <f>+D29+D42+D55+D68+D81+D94+D31+D44+D57+D70+D83+D96</f>
      </c>
      <c r="E103" s="201">
        <f>+E29+E42+E55+E68+E81+E94+E31+E44+E57+E70+E83+E96</f>
      </c>
      <c r="F103" s="201">
        <f>+F29+F42+F55+F68+F81+F94+F31+F44+F57+F70+F83+F96</f>
      </c>
      <c r="G103" s="201">
        <f>+G29+G42+G55+G68+G81+G94+G31+G44+G57+G70+G83+G96</f>
      </c>
      <c r="H103" s="201">
        <f>+H29+H42+H55+H68+H81+H94+H31+H44+H57+H70+H83+H96</f>
      </c>
    </row>
    <row x14ac:dyDescent="0.25" r="104" customHeight="1" ht="18.75">
      <c r="A104" s="262" t="s">
        <v>238</v>
      </c>
      <c r="B104" s="123"/>
      <c r="C104" s="201">
        <f>+C30+C43+C56+C69+C82+C95</f>
      </c>
      <c r="D104" s="201">
        <f>+D30+D43+D56+D69+D82+D95</f>
      </c>
      <c r="E104" s="201">
        <f>+E30+E43+E56+E69+E82+E95</f>
      </c>
      <c r="F104" s="201">
        <f>+F30+F43+F56+F69+F82+F95</f>
      </c>
      <c r="G104" s="201">
        <f>+G30+G43+G56+G69+G82+G95</f>
      </c>
      <c r="H104" s="201">
        <f>+H30+H43+H56+H69+H82+H95</f>
      </c>
    </row>
    <row x14ac:dyDescent="0.25" r="105" customHeight="1" ht="18.75">
      <c r="A105" s="43"/>
      <c r="B105" s="1"/>
      <c r="C105" s="43"/>
      <c r="D105" s="43"/>
      <c r="E105" s="43"/>
      <c r="F105" s="43"/>
      <c r="G105" s="43"/>
      <c r="H105" s="43"/>
    </row>
    <row x14ac:dyDescent="0.25" r="106" customHeight="1" ht="18.75">
      <c r="A106" s="43"/>
      <c r="B106" s="1"/>
      <c r="C106" s="43"/>
      <c r="D106" s="43"/>
      <c r="E106" s="218"/>
      <c r="F106" s="218"/>
      <c r="G106" s="218"/>
      <c r="H106" s="218"/>
    </row>
  </sheetData>
  <mergeCells count="2">
    <mergeCell ref="A4:H4"/>
    <mergeCell ref="A20:B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"/>
  <sheetViews>
    <sheetView workbookViewId="0"/>
  </sheetViews>
  <sheetFormatPr defaultRowHeight="15" x14ac:dyDescent="0.25"/>
  <cols>
    <col min="1" max="1" style="9" width="53.71928571428572" customWidth="1" bestFit="1"/>
    <col min="2" max="2" style="11" width="11.43357142857143" customWidth="1" bestFit="1"/>
    <col min="3" max="3" style="11" width="11.43357142857143" customWidth="1" bestFit="1"/>
    <col min="4" max="4" style="11" width="11.43357142857143" customWidth="1" bestFit="1"/>
    <col min="5" max="5" style="11" width="11.43357142857143" customWidth="1" bestFit="1"/>
    <col min="6" max="6" style="11" width="11.43357142857143" customWidth="1" bestFit="1"/>
    <col min="7" max="7" style="11" width="11.862142857142858" customWidth="1" bestFit="1"/>
  </cols>
  <sheetData>
    <row x14ac:dyDescent="0.25" r="1" customHeight="1" ht="18.75">
      <c r="A1" s="12"/>
      <c r="B1" s="89"/>
      <c r="C1" s="251"/>
      <c r="D1" s="252"/>
      <c r="E1" s="252"/>
      <c r="F1" s="253" t="s">
        <v>12</v>
      </c>
      <c r="G1" s="253">
        <f>+Pressupostos!E1</f>
      </c>
    </row>
    <row x14ac:dyDescent="0.25" r="2" customHeight="1" ht="18.75">
      <c r="A2" s="12"/>
      <c r="B2" s="89"/>
      <c r="C2" s="89"/>
      <c r="D2" s="89"/>
      <c r="E2" s="89"/>
      <c r="F2" s="89"/>
      <c r="G2" s="52">
        <f>+Pressupostos!B9</f>
      </c>
    </row>
    <row x14ac:dyDescent="0.25" r="3" customHeight="1" ht="18.75">
      <c r="A3" s="12"/>
      <c r="B3" s="89"/>
      <c r="C3" s="89"/>
      <c r="D3" s="89"/>
      <c r="E3" s="89"/>
      <c r="F3" s="89"/>
      <c r="G3" s="52"/>
    </row>
    <row x14ac:dyDescent="0.25" r="4" customHeight="1" ht="18.75">
      <c r="A4" s="20" t="s">
        <v>211</v>
      </c>
      <c r="B4" s="254"/>
      <c r="C4" s="254"/>
      <c r="D4" s="254"/>
      <c r="E4" s="254"/>
      <c r="F4" s="254"/>
      <c r="G4" s="254"/>
    </row>
    <row x14ac:dyDescent="0.25" r="5" customHeight="1" ht="18.75">
      <c r="A5" s="12"/>
      <c r="B5" s="89"/>
      <c r="C5" s="89"/>
      <c r="D5" s="89"/>
      <c r="E5" s="89"/>
      <c r="F5" s="89"/>
      <c r="G5" s="89"/>
    </row>
    <row x14ac:dyDescent="0.25" r="6" customHeight="1" ht="18.75">
      <c r="A6" s="12"/>
      <c r="B6" s="248"/>
      <c r="C6" s="89"/>
      <c r="D6" s="89"/>
      <c r="E6" s="89"/>
      <c r="F6" s="89"/>
      <c r="G6" s="89"/>
    </row>
    <row x14ac:dyDescent="0.25" r="7" customHeight="1" ht="18.75">
      <c r="A7" s="123"/>
      <c r="B7" s="49">
        <f>+VN!C8</f>
      </c>
      <c r="C7" s="49">
        <f>+VN!D8</f>
      </c>
      <c r="D7" s="49">
        <f>+VN!E8</f>
      </c>
      <c r="E7" s="49">
        <f>+VN!F8</f>
      </c>
      <c r="F7" s="49">
        <f>+VN!G8</f>
      </c>
      <c r="G7" s="49">
        <f>+VN!H8</f>
      </c>
    </row>
    <row x14ac:dyDescent="0.25" r="8" customHeight="1" ht="18.75">
      <c r="A8" s="255">
        <f>DR!A8</f>
      </c>
      <c r="B8" s="256">
        <f>DR!B8</f>
      </c>
      <c r="C8" s="256">
        <f>DR!C8</f>
      </c>
      <c r="D8" s="256">
        <f>DR!D8</f>
      </c>
      <c r="E8" s="256">
        <f>DR!E8</f>
      </c>
      <c r="F8" s="256">
        <f>DR!F8</f>
      </c>
      <c r="G8" s="256">
        <f>DR!G8</f>
      </c>
    </row>
    <row x14ac:dyDescent="0.25" r="9" customHeight="1" ht="18.75">
      <c r="A9" s="255">
        <f>DR!A11</f>
      </c>
      <c r="B9" s="256">
        <f>DR!B11</f>
      </c>
      <c r="C9" s="256">
        <f>DR!C11</f>
      </c>
      <c r="D9" s="256">
        <f>DR!D11</f>
      </c>
      <c r="E9" s="256">
        <f>DR!E11</f>
      </c>
      <c r="F9" s="256">
        <f>DR!F11</f>
      </c>
      <c r="G9" s="256">
        <f>DR!G11</f>
      </c>
    </row>
    <row x14ac:dyDescent="0.25" r="10" customHeight="1" ht="18.75">
      <c r="A10" s="123" t="s">
        <v>192</v>
      </c>
      <c r="B10" s="256">
        <f>DR!B13</f>
      </c>
      <c r="C10" s="256">
        <f>DR!C13</f>
      </c>
      <c r="D10" s="256">
        <f>DR!D13</f>
      </c>
      <c r="E10" s="256">
        <f>DR!E13</f>
      </c>
      <c r="F10" s="256">
        <f>DR!F13</f>
      </c>
      <c r="G10" s="256">
        <f>DR!G13</f>
      </c>
    </row>
    <row x14ac:dyDescent="0.25" r="11" customHeight="1" ht="18.75">
      <c r="A11" s="123" t="s">
        <v>212</v>
      </c>
      <c r="B11" s="256">
        <f>FSE!F47</f>
      </c>
      <c r="C11" s="256">
        <f>FSE!G47</f>
      </c>
      <c r="D11" s="256">
        <f>FSE!H47</f>
      </c>
      <c r="E11" s="256">
        <f>FSE!I47</f>
      </c>
      <c r="F11" s="256">
        <f>FSE!J47</f>
      </c>
      <c r="G11" s="256">
        <f>FSE!K47</f>
      </c>
    </row>
    <row x14ac:dyDescent="0.25" r="12" customHeight="1" ht="18.75">
      <c r="A12" s="55" t="s">
        <v>213</v>
      </c>
      <c r="B12" s="257">
        <f>B8+B9-B10-B11</f>
      </c>
      <c r="C12" s="257">
        <f>C8+C9-C10-C11</f>
      </c>
      <c r="D12" s="257">
        <f>D8+D9-D10-D11</f>
      </c>
      <c r="E12" s="257">
        <f>E8+E9-E10-E11</f>
      </c>
      <c r="F12" s="257">
        <f>F8+F9-F10-F11</f>
      </c>
      <c r="G12" s="257">
        <f>G8+G9-G10-G11</f>
      </c>
    </row>
    <row x14ac:dyDescent="0.25" r="13" customHeight="1" ht="18.75">
      <c r="A13" s="178" t="s">
        <v>214</v>
      </c>
      <c r="B13" s="258">
        <f>IF(B8&gt;0,(FSE!F45+DR!B15+DR!B24+DR!B25+DR!B18)/(B12/'Ponto Crítico'!B8),"")</f>
      </c>
      <c r="C13" s="258">
        <f>IF(C8&gt;0,(FSE!G45+DR!C15+DR!C24+DR!C25+DR!C18)/(C12/'Ponto Crítico'!C8),"")</f>
      </c>
      <c r="D13" s="258">
        <f>IF(D8&gt;0,(FSE!H45+DR!D15+DR!D24+DR!D25+DR!D18)/(D12/'Ponto Crítico'!D8),"")</f>
      </c>
      <c r="E13" s="258">
        <f>IF(E8&gt;0,(FSE!I45+DR!E15+DR!E24+DR!E25+DR!E18)/(E12/'Ponto Crítico'!E8),"")</f>
      </c>
      <c r="F13" s="258">
        <f>IF(F8&gt;0,(FSE!J45+DR!F15+DR!F24+DR!F25+DR!F18)/(F12/'Ponto Crítico'!F8),"")</f>
      </c>
      <c r="G13" s="258">
        <f>IF(G8&gt;0,(FSE!K45+DR!G15+DR!G24+DR!G25+DR!G18)/(G12/'Ponto Crítico'!G8),"")</f>
      </c>
    </row>
  </sheetData>
  <mergeCells count="1">
    <mergeCell ref="A4:G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3"/>
  <sheetViews>
    <sheetView workbookViewId="0"/>
  </sheetViews>
  <sheetFormatPr defaultRowHeight="15" x14ac:dyDescent="0.25"/>
  <cols>
    <col min="1" max="1" style="9" width="53.71928571428572" customWidth="1" bestFit="1"/>
    <col min="2" max="2" style="190" width="11.43357142857143" customWidth="1" bestFit="1"/>
    <col min="3" max="3" style="190" width="11.43357142857143" customWidth="1" bestFit="1"/>
    <col min="4" max="4" style="190" width="11.43357142857143" customWidth="1" bestFit="1"/>
    <col min="5" max="5" style="190" width="11.43357142857143" customWidth="1" bestFit="1"/>
    <col min="6" max="6" style="190" width="11.43357142857143" customWidth="1" bestFit="1"/>
    <col min="7" max="7" style="190" width="11.862142857142858" customWidth="1" bestFit="1"/>
  </cols>
  <sheetData>
    <row x14ac:dyDescent="0.25" r="1" customHeight="1" ht="18.75">
      <c r="A1" s="12"/>
      <c r="B1" s="38"/>
      <c r="C1" s="247"/>
      <c r="D1" s="226"/>
      <c r="E1" s="226"/>
      <c r="F1" s="228" t="s">
        <v>12</v>
      </c>
      <c r="G1" s="228">
        <f>+Pressupostos!E1</f>
      </c>
    </row>
    <row x14ac:dyDescent="0.25" r="2" customHeight="1" ht="18.75">
      <c r="A2" s="12"/>
      <c r="B2" s="38"/>
      <c r="C2" s="38"/>
      <c r="D2" s="38"/>
      <c r="E2" s="38"/>
      <c r="F2" s="38"/>
      <c r="G2" s="30">
        <f>+Pressupostos!B9</f>
      </c>
    </row>
    <row x14ac:dyDescent="0.25" r="3" customHeight="1" ht="18.75">
      <c r="A3" s="12"/>
      <c r="B3" s="38"/>
      <c r="C3" s="38"/>
      <c r="D3" s="38"/>
      <c r="E3" s="38"/>
      <c r="F3" s="38"/>
      <c r="G3" s="30"/>
    </row>
    <row x14ac:dyDescent="0.25" r="4" customHeight="1" ht="18.75">
      <c r="A4" s="20" t="s">
        <v>186</v>
      </c>
      <c r="B4" s="45"/>
      <c r="C4" s="45"/>
      <c r="D4" s="45"/>
      <c r="E4" s="45"/>
      <c r="F4" s="45"/>
      <c r="G4" s="45"/>
    </row>
    <row x14ac:dyDescent="0.25" r="5" customHeight="1" ht="18.75">
      <c r="A5" s="12"/>
      <c r="B5" s="38"/>
      <c r="C5" s="38"/>
      <c r="D5" s="38"/>
      <c r="E5" s="38"/>
      <c r="F5" s="38"/>
      <c r="G5" s="38"/>
    </row>
    <row x14ac:dyDescent="0.25" r="6" customHeight="1" ht="18.75">
      <c r="A6" s="12"/>
      <c r="B6" s="248"/>
      <c r="C6" s="38"/>
      <c r="D6" s="38"/>
      <c r="E6" s="38"/>
      <c r="F6" s="38"/>
      <c r="G6" s="38"/>
    </row>
    <row x14ac:dyDescent="0.25" r="7" customHeight="1" ht="18.75">
      <c r="A7" s="123"/>
      <c r="B7" s="49">
        <f>+VN!C8</f>
      </c>
      <c r="C7" s="49">
        <f>+VN!D8</f>
      </c>
      <c r="D7" s="49">
        <f>+VN!E8</f>
      </c>
      <c r="E7" s="49">
        <f>+VN!F8</f>
      </c>
      <c r="F7" s="49">
        <f>+VN!G8</f>
      </c>
      <c r="G7" s="49">
        <f>+VN!H8</f>
      </c>
    </row>
    <row x14ac:dyDescent="0.25" r="8" customHeight="1" ht="18.75">
      <c r="A8" s="123" t="s">
        <v>187</v>
      </c>
      <c r="B8" s="201">
        <f>+VN!C80</f>
      </c>
      <c r="C8" s="201">
        <f>+VN!D80</f>
      </c>
      <c r="D8" s="201">
        <f>+VN!E80</f>
      </c>
      <c r="E8" s="201">
        <f>+VN!F80</f>
      </c>
      <c r="F8" s="201">
        <f>+VN!G80</f>
      </c>
      <c r="G8" s="201">
        <f>+VN!H80</f>
      </c>
    </row>
    <row x14ac:dyDescent="0.25" r="9" customHeight="1" ht="18.75">
      <c r="A9" s="123" t="s">
        <v>188</v>
      </c>
      <c r="B9" s="29"/>
      <c r="C9" s="29"/>
      <c r="D9" s="29"/>
      <c r="E9" s="29"/>
      <c r="F9" s="29"/>
      <c r="G9" s="29"/>
    </row>
    <row x14ac:dyDescent="0.25" r="10" customHeight="1" ht="18.75">
      <c r="A10" s="249" t="s">
        <v>189</v>
      </c>
      <c r="B10" s="29"/>
      <c r="C10" s="29"/>
      <c r="D10" s="29"/>
      <c r="E10" s="29"/>
      <c r="F10" s="29"/>
      <c r="G10" s="29"/>
    </row>
    <row x14ac:dyDescent="0.25" r="11" customHeight="1" ht="18.75">
      <c r="A11" s="123" t="s">
        <v>190</v>
      </c>
      <c r="B11" s="29"/>
      <c r="C11" s="29"/>
      <c r="D11" s="29"/>
      <c r="E11" s="29"/>
      <c r="F11" s="29"/>
      <c r="G11" s="29"/>
    </row>
    <row x14ac:dyDescent="0.25" r="12" customHeight="1" ht="18.75">
      <c r="A12" s="123" t="s">
        <v>191</v>
      </c>
      <c r="B12" s="29"/>
      <c r="C12" s="29"/>
      <c r="D12" s="29"/>
      <c r="E12" s="29"/>
      <c r="F12" s="29"/>
      <c r="G12" s="29"/>
    </row>
    <row x14ac:dyDescent="0.25" r="13" customHeight="1" ht="18.75">
      <c r="A13" s="123" t="s">
        <v>192</v>
      </c>
      <c r="B13" s="201">
        <f>+CMVMC!C16</f>
      </c>
      <c r="C13" s="201">
        <f>+CMVMC!D16</f>
      </c>
      <c r="D13" s="201">
        <f>+CMVMC!E16</f>
      </c>
      <c r="E13" s="201">
        <f>+CMVMC!F16</f>
      </c>
      <c r="F13" s="201">
        <f>+CMVMC!G16</f>
      </c>
      <c r="G13" s="201">
        <f>+CMVMC!H16</f>
      </c>
    </row>
    <row x14ac:dyDescent="0.25" r="14" customHeight="1" ht="18.75">
      <c r="A14" s="123" t="s">
        <v>193</v>
      </c>
      <c r="B14" s="201">
        <f>+FSE!F43</f>
      </c>
      <c r="C14" s="201">
        <f>+FSE!G43</f>
      </c>
      <c r="D14" s="201">
        <f>+FSE!H43</f>
      </c>
      <c r="E14" s="201">
        <f>+FSE!I43</f>
      </c>
      <c r="F14" s="201">
        <f>+FSE!J43</f>
      </c>
      <c r="G14" s="201">
        <f>+FSE!K43</f>
      </c>
    </row>
    <row x14ac:dyDescent="0.25" r="15" customHeight="1" ht="18.75">
      <c r="A15" s="123" t="s">
        <v>194</v>
      </c>
      <c r="B15" s="201">
        <f>+'Gastos com Pessoal'!D94</f>
      </c>
      <c r="C15" s="201">
        <f>+'Gastos com Pessoal'!E94</f>
      </c>
      <c r="D15" s="201">
        <f>+'Gastos com Pessoal'!F94</f>
      </c>
      <c r="E15" s="201">
        <f>+'Gastos com Pessoal'!G94</f>
      </c>
      <c r="F15" s="201">
        <f>+'Gastos com Pessoal'!H94</f>
      </c>
      <c r="G15" s="201">
        <f>+'Gastos com Pessoal'!I94</f>
      </c>
    </row>
    <row x14ac:dyDescent="0.25" r="16" customHeight="1" ht="18.75">
      <c r="A16" s="123" t="s">
        <v>195</v>
      </c>
      <c r="B16" s="29"/>
      <c r="C16" s="29"/>
      <c r="D16" s="29"/>
      <c r="E16" s="29"/>
      <c r="F16" s="29"/>
      <c r="G16" s="29"/>
    </row>
    <row x14ac:dyDescent="0.25" r="17" customHeight="1" ht="18.75">
      <c r="A17" s="123" t="s">
        <v>196</v>
      </c>
      <c r="B17" s="201">
        <f>+VN!C87</f>
      </c>
      <c r="C17" s="201">
        <f>+VN!D87</f>
      </c>
      <c r="D17" s="201">
        <f>+VN!E87</f>
      </c>
      <c r="E17" s="201">
        <f>+VN!F87</f>
      </c>
      <c r="F17" s="201">
        <f>+VN!G87</f>
      </c>
      <c r="G17" s="201">
        <f>+VN!H87</f>
      </c>
    </row>
    <row x14ac:dyDescent="0.25" r="18" customHeight="1" ht="18.75">
      <c r="A18" s="123" t="s">
        <v>197</v>
      </c>
      <c r="B18" s="29"/>
      <c r="C18" s="29"/>
      <c r="D18" s="29"/>
      <c r="E18" s="29"/>
      <c r="F18" s="29"/>
      <c r="G18" s="29"/>
    </row>
    <row x14ac:dyDescent="0.25" r="19" customHeight="1" ht="18.75">
      <c r="A19" s="123" t="s">
        <v>198</v>
      </c>
      <c r="B19" s="29"/>
      <c r="C19" s="29"/>
      <c r="D19" s="29"/>
      <c r="E19" s="29"/>
      <c r="F19" s="29"/>
      <c r="G19" s="29"/>
    </row>
    <row x14ac:dyDescent="0.25" r="20" customHeight="1" ht="18.75">
      <c r="A20" s="123" t="s">
        <v>199</v>
      </c>
      <c r="B20" s="29"/>
      <c r="C20" s="29"/>
      <c r="D20" s="29"/>
      <c r="E20" s="29"/>
      <c r="F20" s="29"/>
      <c r="G20" s="29"/>
    </row>
    <row x14ac:dyDescent="0.25" r="21" customHeight="1" ht="18.75">
      <c r="A21" s="123" t="s">
        <v>200</v>
      </c>
      <c r="B21" s="29"/>
      <c r="C21" s="29"/>
      <c r="D21" s="29"/>
      <c r="E21" s="29"/>
      <c r="F21" s="29"/>
      <c r="G21" s="29"/>
    </row>
    <row x14ac:dyDescent="0.25" r="22" customHeight="1" ht="18.75">
      <c r="A22" s="123" t="s">
        <v>201</v>
      </c>
      <c r="B22" s="29"/>
      <c r="C22" s="29"/>
      <c r="D22" s="29"/>
      <c r="E22" s="29"/>
      <c r="F22" s="29"/>
      <c r="G22" s="29"/>
    </row>
    <row x14ac:dyDescent="0.25" r="23" customHeight="1" ht="18.75">
      <c r="A23" s="242" t="s">
        <v>202</v>
      </c>
      <c r="B23" s="220">
        <f>+B8+B9+B10+B11+B12-B13-B14-B15-B16-B17-B18-B19-B20+B21-B22</f>
      </c>
      <c r="C23" s="220">
        <f>+C8+C9+C10+C11+C12-C13-C14-C15-C16-C17-C18-C19-C20+C21-C22</f>
      </c>
      <c r="D23" s="220">
        <f>+D8+D9+D10+D11+D12-D13-D14-D15-D16-D17-D18-D19-D20+D21-D22</f>
      </c>
      <c r="E23" s="220">
        <f>+E8+E9+E10+E11+E12-E13-E14-E15-E16-E17-E18-E19-E20+E21-E22</f>
      </c>
      <c r="F23" s="220">
        <f>+F8+F9+F10+F11+F12-F13-F14-F15-F16-F17-F18-F19-F20+F21-F22</f>
      </c>
      <c r="G23" s="220">
        <f>+G8+G9+G10+G11+G12-G13-G14-G15-G16-G17-G18-G19-G20+G21-G22</f>
      </c>
    </row>
    <row x14ac:dyDescent="0.25" r="24" customHeight="1" ht="18.75">
      <c r="A24" s="123" t="s">
        <v>203</v>
      </c>
      <c r="B24" s="201">
        <f>+Investimento!C168</f>
      </c>
      <c r="C24" s="201">
        <f>+Investimento!D168</f>
      </c>
      <c r="D24" s="201">
        <f>+Investimento!E168</f>
      </c>
      <c r="E24" s="201">
        <f>+Investimento!F168</f>
      </c>
      <c r="F24" s="201">
        <f>+Investimento!G168</f>
      </c>
      <c r="G24" s="201">
        <f>+Investimento!H168</f>
      </c>
    </row>
    <row x14ac:dyDescent="0.25" r="25" customHeight="1" ht="18.75">
      <c r="A25" s="123" t="s">
        <v>204</v>
      </c>
      <c r="B25" s="29"/>
      <c r="C25" s="29"/>
      <c r="D25" s="29"/>
      <c r="E25" s="29"/>
      <c r="F25" s="29"/>
      <c r="G25" s="29"/>
    </row>
    <row x14ac:dyDescent="0.25" r="26" customHeight="1" ht="18.75">
      <c r="A26" s="242" t="s">
        <v>205</v>
      </c>
      <c r="B26" s="220">
        <f>+B23-B24-B25</f>
      </c>
      <c r="C26" s="220">
        <f>+C23-C24-C25</f>
      </c>
      <c r="D26" s="220">
        <f>+D23-D24-D25</f>
      </c>
      <c r="E26" s="220">
        <f>+E23-E24-E25</f>
      </c>
      <c r="F26" s="220">
        <f>+F23-F24-F25</f>
      </c>
      <c r="G26" s="220">
        <f>+G23-G24-G25</f>
      </c>
    </row>
    <row x14ac:dyDescent="0.25" r="27" customHeight="1" ht="18.75">
      <c r="A27" s="123" t="s">
        <v>206</v>
      </c>
      <c r="B27" s="201">
        <f>+IF(PlanoFinanceiro!C29&gt;0,PlanoFinanceiro!C29*Pressupostos!$B$31,0)</f>
      </c>
      <c r="C27" s="201">
        <f>+IF(PlanoFinanceiro!D29&gt;0,PlanoFinanceiro!D29*Pressupostos!$B$31,0)</f>
      </c>
      <c r="D27" s="201">
        <f>+IF(PlanoFinanceiro!E29&gt;0,PlanoFinanceiro!E29*Pressupostos!$B$31,0)</f>
      </c>
      <c r="E27" s="201">
        <f>+IF(PlanoFinanceiro!F29&gt;0,PlanoFinanceiro!F29*Pressupostos!$B$31,0)</f>
      </c>
      <c r="F27" s="201">
        <f>+IF(PlanoFinanceiro!G29&gt;0,PlanoFinanceiro!G29*Pressupostos!$B$31,0)</f>
      </c>
      <c r="G27" s="201">
        <f>+IF(PlanoFinanceiro!H29&gt;0,PlanoFinanceiro!H29*Pressupostos!$B$31,0)</f>
      </c>
    </row>
    <row x14ac:dyDescent="0.25" r="28" customHeight="1" ht="18.75">
      <c r="A28" s="123" t="s">
        <v>207</v>
      </c>
      <c r="B28" s="201">
        <f>Financiamento!C103+IF(PlanoFinanceiro!C29&lt;0,-PlanoFinanceiro!C29*Pressupostos!$B$32,0)</f>
      </c>
      <c r="C28" s="201">
        <f>Financiamento!D103+IF(PlanoFinanceiro!D29&lt;0,-PlanoFinanceiro!D29*Pressupostos!$B$32,0)</f>
      </c>
      <c r="D28" s="201">
        <f>Financiamento!E103+IF(PlanoFinanceiro!E29&lt;0,-PlanoFinanceiro!E29*Pressupostos!$B$32,0)</f>
      </c>
      <c r="E28" s="201">
        <f>Financiamento!F103+IF(PlanoFinanceiro!F29&lt;0,-PlanoFinanceiro!F29*Pressupostos!$B$32,0)</f>
      </c>
      <c r="F28" s="201">
        <f>Financiamento!G103+IF(PlanoFinanceiro!G29&lt;0,-PlanoFinanceiro!G29*Pressupostos!$B$32,0)</f>
      </c>
      <c r="G28" s="201">
        <f>Financiamento!H103+IF(PlanoFinanceiro!H29&lt;0,-PlanoFinanceiro!H29*Pressupostos!$B$32,0)</f>
      </c>
    </row>
    <row x14ac:dyDescent="0.25" r="29" customHeight="1" ht="18.75">
      <c r="A29" s="242" t="s">
        <v>208</v>
      </c>
      <c r="B29" s="220">
        <f>+B26+B27-B28</f>
      </c>
      <c r="C29" s="220">
        <f>+C26+C27-C28</f>
      </c>
      <c r="D29" s="220">
        <f>+D26+D27-D28</f>
      </c>
      <c r="E29" s="220">
        <f>+E26+E27-E28</f>
      </c>
      <c r="F29" s="220">
        <f>+F26+F27-F28</f>
      </c>
      <c r="G29" s="220">
        <f>+G26+G27-G28</f>
      </c>
    </row>
    <row x14ac:dyDescent="0.25" r="30" customHeight="1" ht="18.75">
      <c r="A30" s="123" t="s">
        <v>209</v>
      </c>
      <c r="B30" s="201">
        <f>IF(B29&gt;0,B29*Pressupostos!$B$29,0)</f>
      </c>
      <c r="C30" s="201">
        <f>IF(C29+C32&lt;0,0,(C29+C32)*Pressupostos!$B$29)</f>
      </c>
      <c r="D30" s="201">
        <f>IF(D29+D32&lt;0,0,(D29+D32)*Pressupostos!$B$29)</f>
      </c>
      <c r="E30" s="201">
        <f>IF(E29+E32&lt;0,0,(E29+E32)*Pressupostos!$B$29)</f>
      </c>
      <c r="F30" s="201">
        <f>IF(F29+F32&lt;0,0,(F29+F32)*Pressupostos!$B$29)</f>
      </c>
      <c r="G30" s="201">
        <f>IF(G29+G32&lt;0,0,(G29+G32)*Pressupostos!$B$29)</f>
      </c>
    </row>
    <row x14ac:dyDescent="0.25" r="31" customHeight="1" ht="18.75">
      <c r="A31" s="242" t="s">
        <v>210</v>
      </c>
      <c r="B31" s="220">
        <f>+B29-B30</f>
      </c>
      <c r="C31" s="220">
        <f>+C29-C30</f>
      </c>
      <c r="D31" s="220">
        <f>+D29-D30</f>
      </c>
      <c r="E31" s="220">
        <f>+E29-E30</f>
      </c>
      <c r="F31" s="220">
        <f>+F29-F30</f>
      </c>
      <c r="G31" s="220">
        <f>+G29-G30</f>
      </c>
    </row>
    <row x14ac:dyDescent="0.25" r="32" customHeight="1" ht="18.75">
      <c r="A32" s="62"/>
      <c r="B32" s="250"/>
      <c r="C32" s="250">
        <f>IF(B31&lt;0,B31,0)</f>
      </c>
      <c r="D32" s="250">
        <f>IF(C31+C32&lt;0,C31+C32,0)</f>
      </c>
      <c r="E32" s="250">
        <f>IF(D31+D32&lt;0,D31+D32,0)</f>
      </c>
      <c r="F32" s="250">
        <f>IF(E31+E32&lt;0,E31+E32,0)</f>
      </c>
      <c r="G32" s="250">
        <f>IF(F31+F32&lt;0,F31+F32,0)</f>
      </c>
    </row>
    <row x14ac:dyDescent="0.25" r="33" customHeight="1" ht="18.75">
      <c r="A33" s="1"/>
      <c r="B33" s="218"/>
      <c r="C33" s="218"/>
      <c r="D33" s="218"/>
      <c r="E33" s="218"/>
      <c r="F33" s="218"/>
      <c r="G33" s="218"/>
    </row>
  </sheetData>
  <mergeCells count="1">
    <mergeCell ref="A4:G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9"/>
  <sheetViews>
    <sheetView workbookViewId="0"/>
  </sheetViews>
  <sheetFormatPr defaultRowHeight="15" x14ac:dyDescent="0.25"/>
  <cols>
    <col min="1" max="1" style="9" width="30.862142857142857" customWidth="1" bestFit="1"/>
    <col min="2" max="2" style="9" width="7.576428571428571" customWidth="1" bestFit="1"/>
    <col min="3" max="3" style="190" width="13.576428571428572" customWidth="1" bestFit="1"/>
    <col min="4" max="4" style="190" width="13.576428571428572" customWidth="1" bestFit="1"/>
    <col min="5" max="5" style="190" width="13.576428571428572" customWidth="1" bestFit="1"/>
    <col min="6" max="6" style="190" width="13.576428571428572" customWidth="1" bestFit="1"/>
    <col min="7" max="7" style="190" width="13.576428571428572" customWidth="1" bestFit="1"/>
    <col min="8" max="8" style="190" width="13.576428571428572" customWidth="1" bestFit="1"/>
    <col min="9" max="9" style="9" width="13.576428571428572" customWidth="1" bestFit="1"/>
  </cols>
  <sheetData>
    <row x14ac:dyDescent="0.25" r="1" customHeight="1" ht="18.75">
      <c r="A1" s="238"/>
      <c r="B1" s="238"/>
      <c r="C1" s="226"/>
      <c r="D1" s="226"/>
      <c r="E1" s="226"/>
      <c r="F1" s="226"/>
      <c r="G1" s="227" t="s">
        <v>12</v>
      </c>
      <c r="H1" s="228">
        <f>+Pressupostos!E1</f>
      </c>
      <c r="I1" s="1"/>
    </row>
    <row x14ac:dyDescent="0.25" r="2" customHeight="1" ht="18.75">
      <c r="A2" s="12"/>
      <c r="B2" s="12"/>
      <c r="C2" s="38"/>
      <c r="D2" s="38"/>
      <c r="E2" s="38"/>
      <c r="F2" s="38"/>
      <c r="G2" s="38"/>
      <c r="H2" s="30">
        <f>+Pressupostos!B9</f>
      </c>
      <c r="I2" s="1"/>
    </row>
    <row x14ac:dyDescent="0.25" r="3" customHeight="1" ht="18.75">
      <c r="A3" s="12"/>
      <c r="B3" s="12"/>
      <c r="C3" s="38"/>
      <c r="D3" s="38"/>
      <c r="E3" s="38"/>
      <c r="F3" s="38"/>
      <c r="G3" s="38"/>
      <c r="H3" s="30"/>
      <c r="I3" s="1"/>
    </row>
    <row x14ac:dyDescent="0.25" r="4" customHeight="1" ht="13.5">
      <c r="A4" s="20" t="s">
        <v>174</v>
      </c>
      <c r="B4" s="20"/>
      <c r="C4" s="45"/>
      <c r="D4" s="45"/>
      <c r="E4" s="45"/>
      <c r="F4" s="45"/>
      <c r="G4" s="45"/>
      <c r="H4" s="45"/>
      <c r="I4" s="1"/>
    </row>
    <row x14ac:dyDescent="0.25" r="5" customHeight="1" ht="12.75">
      <c r="A5" s="12"/>
      <c r="B5" s="12"/>
      <c r="C5" s="38"/>
      <c r="D5" s="38"/>
      <c r="E5" s="38"/>
      <c r="F5" s="38"/>
      <c r="G5" s="38"/>
      <c r="H5" s="38"/>
      <c r="I5" s="1"/>
    </row>
    <row x14ac:dyDescent="0.25" r="6" customHeight="1" ht="18.75">
      <c r="A6" s="12"/>
      <c r="B6" s="30"/>
      <c r="C6" s="38"/>
      <c r="D6" s="38"/>
      <c r="E6" s="38"/>
      <c r="F6" s="38"/>
      <c r="G6" s="38"/>
      <c r="H6" s="38"/>
      <c r="I6" s="1"/>
    </row>
    <row x14ac:dyDescent="0.25" r="7" customHeight="1" ht="18.75">
      <c r="A7" s="123"/>
      <c r="B7" s="201"/>
      <c r="C7" s="49">
        <f>+VN!C8</f>
      </c>
      <c r="D7" s="49">
        <f>+VN!D8</f>
      </c>
      <c r="E7" s="49">
        <f>+VN!E8</f>
      </c>
      <c r="F7" s="49">
        <f>+VN!F8</f>
      </c>
      <c r="G7" s="49">
        <f>+VN!G8</f>
      </c>
      <c r="H7" s="49">
        <f>+VN!H8</f>
      </c>
      <c r="I7" s="1"/>
    </row>
    <row x14ac:dyDescent="0.25" r="8" customHeight="1" ht="18.75">
      <c r="A8" s="55" t="s">
        <v>175</v>
      </c>
      <c r="B8" s="201"/>
      <c r="C8" s="49"/>
      <c r="D8" s="49"/>
      <c r="E8" s="49"/>
      <c r="F8" s="49"/>
      <c r="G8" s="49"/>
      <c r="H8" s="49"/>
      <c r="I8" s="1"/>
    </row>
    <row x14ac:dyDescent="0.25" r="9" customHeight="1" ht="18.75">
      <c r="A9" s="239" t="s">
        <v>176</v>
      </c>
      <c r="B9" s="201"/>
      <c r="C9" s="201">
        <f>+DR!B26*(1-Pressupostos!$B$29)</f>
      </c>
      <c r="D9" s="201">
        <f>+DR!C26*(1-Pressupostos!$B$29)</f>
      </c>
      <c r="E9" s="201">
        <f>+DR!D26*(1-Pressupostos!$B$29)</f>
      </c>
      <c r="F9" s="201">
        <f>+DR!E26*(1-Pressupostos!$B$29)</f>
      </c>
      <c r="G9" s="201">
        <f>+DR!F26*(1-Pressupostos!$B$29)</f>
      </c>
      <c r="H9" s="201">
        <f>+DR!G26*(1-Pressupostos!$B$29)</f>
      </c>
      <c r="I9" s="1"/>
    </row>
    <row x14ac:dyDescent="0.25" r="10" customHeight="1" ht="18.75">
      <c r="A10" s="123" t="s">
        <v>177</v>
      </c>
      <c r="B10" s="201"/>
      <c r="C10" s="201">
        <f>+DR!B24</f>
      </c>
      <c r="D10" s="201">
        <f>+DR!C24</f>
      </c>
      <c r="E10" s="201">
        <f>+DR!D24</f>
      </c>
      <c r="F10" s="201">
        <f>+DR!E24</f>
      </c>
      <c r="G10" s="201">
        <f>+DR!F24</f>
      </c>
      <c r="H10" s="201">
        <f>+DR!G24</f>
      </c>
      <c r="I10" s="1"/>
    </row>
    <row x14ac:dyDescent="0.25" r="11" customHeight="1" ht="18.75">
      <c r="A11" s="123" t="s">
        <v>178</v>
      </c>
      <c r="B11" s="201"/>
      <c r="C11" s="201">
        <f>+DR!B25</f>
      </c>
      <c r="D11" s="201">
        <f>+DR!C25</f>
      </c>
      <c r="E11" s="201">
        <f>+DR!D25</f>
      </c>
      <c r="F11" s="201">
        <f>+DR!E25</f>
      </c>
      <c r="G11" s="201">
        <f>+DR!F25</f>
      </c>
      <c r="H11" s="201">
        <f>+DR!G25</f>
      </c>
      <c r="I11" s="1"/>
    </row>
    <row x14ac:dyDescent="0.25" r="12" customHeight="1" ht="18.75">
      <c r="A12" s="123"/>
      <c r="B12" s="123"/>
      <c r="C12" s="220">
        <f>SUM(C9:C11)</f>
      </c>
      <c r="D12" s="220">
        <f>SUM(D9:D11)</f>
      </c>
      <c r="E12" s="220">
        <f>SUM(E9:E11)</f>
      </c>
      <c r="F12" s="220">
        <f>SUM(F9:F11)</f>
      </c>
      <c r="G12" s="220">
        <f>SUM(G9:G11)</f>
      </c>
      <c r="H12" s="220">
        <f>SUM(H9:H11)</f>
      </c>
      <c r="I12" s="1"/>
    </row>
    <row x14ac:dyDescent="0.25" r="13" customHeight="1" ht="18.75">
      <c r="A13" s="55" t="s">
        <v>179</v>
      </c>
      <c r="B13" s="123"/>
      <c r="C13" s="49"/>
      <c r="D13" s="49"/>
      <c r="E13" s="49"/>
      <c r="F13" s="49"/>
      <c r="G13" s="49"/>
      <c r="H13" s="49"/>
      <c r="I13" s="1"/>
    </row>
    <row x14ac:dyDescent="0.25" r="14" customHeight="1" ht="18.75">
      <c r="A14" s="239" t="s">
        <v>180</v>
      </c>
      <c r="B14" s="234"/>
      <c r="C14" s="201">
        <f>-FundoManeio!C24</f>
      </c>
      <c r="D14" s="201">
        <f>-FundoManeio!D24</f>
      </c>
      <c r="E14" s="201">
        <f>-FundoManeio!E24</f>
      </c>
      <c r="F14" s="201">
        <f>-FundoManeio!F24</f>
      </c>
      <c r="G14" s="201">
        <f>-FundoManeio!G24</f>
      </c>
      <c r="H14" s="201">
        <f>-FundoManeio!H24</f>
      </c>
      <c r="I14" s="1"/>
    </row>
    <row x14ac:dyDescent="0.25" r="15" customHeight="1" ht="18.75">
      <c r="A15" s="240"/>
      <c r="B15" s="240"/>
      <c r="C15" s="241"/>
      <c r="D15" s="241"/>
      <c r="E15" s="241"/>
      <c r="F15" s="241"/>
      <c r="G15" s="241"/>
      <c r="H15" s="241"/>
      <c r="I15" s="1"/>
    </row>
    <row x14ac:dyDescent="0.25" r="16" customHeight="1" ht="18.75">
      <c r="A16" s="242" t="s">
        <v>181</v>
      </c>
      <c r="B16" s="242"/>
      <c r="C16" s="220">
        <f>+SUM(C12:C14)</f>
      </c>
      <c r="D16" s="220">
        <f>+SUM(D12:D14)</f>
      </c>
      <c r="E16" s="220">
        <f>+SUM(E12:E14)</f>
      </c>
      <c r="F16" s="220">
        <f>+SUM(F12:F14)</f>
      </c>
      <c r="G16" s="220">
        <f>+SUM(G12:G14)</f>
      </c>
      <c r="H16" s="220">
        <f>+SUM(H12:H14)</f>
      </c>
      <c r="I16" s="1"/>
    </row>
    <row x14ac:dyDescent="0.25" r="17" customHeight="1" ht="18.75">
      <c r="A17" s="12"/>
      <c r="B17" s="35"/>
      <c r="C17" s="30"/>
      <c r="D17" s="30"/>
      <c r="E17" s="30"/>
      <c r="F17" s="30"/>
      <c r="G17" s="30"/>
      <c r="H17" s="30"/>
      <c r="I17" s="1"/>
    </row>
    <row x14ac:dyDescent="0.25" r="18" customHeight="1" ht="18.75">
      <c r="A18" s="55" t="s">
        <v>182</v>
      </c>
      <c r="B18" s="123"/>
      <c r="C18" s="49"/>
      <c r="D18" s="49"/>
      <c r="E18" s="49"/>
      <c r="F18" s="49"/>
      <c r="G18" s="49"/>
      <c r="H18" s="49"/>
      <c r="I18" s="1"/>
    </row>
    <row x14ac:dyDescent="0.25" r="19" customHeight="1" ht="18.75">
      <c r="A19" s="123" t="s">
        <v>183</v>
      </c>
      <c r="B19" s="201"/>
      <c r="C19" s="201">
        <f>-Investimento!C29</f>
      </c>
      <c r="D19" s="201">
        <f>-Investimento!D29</f>
      </c>
      <c r="E19" s="201">
        <f>-Investimento!E29</f>
      </c>
      <c r="F19" s="201">
        <f>-Investimento!F29</f>
      </c>
      <c r="G19" s="201">
        <f>-Investimento!G29</f>
      </c>
      <c r="H19" s="201">
        <f>-Investimento!H29</f>
      </c>
      <c r="I19" s="1"/>
    </row>
    <row x14ac:dyDescent="0.25" r="20" customHeight="1" ht="18.75">
      <c r="A20" s="12"/>
      <c r="B20" s="35"/>
      <c r="C20" s="30"/>
      <c r="D20" s="30"/>
      <c r="E20" s="30"/>
      <c r="F20" s="30"/>
      <c r="G20" s="30"/>
      <c r="H20" s="30"/>
      <c r="I20" s="1"/>
    </row>
    <row x14ac:dyDescent="0.25" r="21" customHeight="1" ht="18.75">
      <c r="A21" s="242" t="s">
        <v>184</v>
      </c>
      <c r="B21" s="242"/>
      <c r="C21" s="220">
        <f>+C12+C14+C19</f>
      </c>
      <c r="D21" s="220">
        <f>+D12+D14+D19</f>
      </c>
      <c r="E21" s="220">
        <f>+E12+E14+E19</f>
      </c>
      <c r="F21" s="220">
        <f>+F12+F14+F19</f>
      </c>
      <c r="G21" s="220">
        <f>+G12+G14+G19</f>
      </c>
      <c r="H21" s="220">
        <f>+H12+H14+H19</f>
      </c>
      <c r="I21" s="1"/>
    </row>
    <row x14ac:dyDescent="0.25" r="22" customHeight="1" ht="18.75">
      <c r="A22" s="12"/>
      <c r="B22" s="35"/>
      <c r="C22" s="30"/>
      <c r="D22" s="30"/>
      <c r="E22" s="30"/>
      <c r="F22" s="30"/>
      <c r="G22" s="30"/>
      <c r="H22" s="30"/>
      <c r="I22" s="1"/>
    </row>
    <row x14ac:dyDescent="0.25" r="23" customHeight="1" ht="18.75">
      <c r="A23" s="242" t="s">
        <v>185</v>
      </c>
      <c r="B23" s="242"/>
      <c r="C23" s="220">
        <f>+SUM(C21)</f>
      </c>
      <c r="D23" s="220">
        <f>+SUM($C$21:D21)</f>
      </c>
      <c r="E23" s="220">
        <f>+SUM($C$21:E21)</f>
      </c>
      <c r="F23" s="220">
        <f>+SUM($C$21:F21)</f>
      </c>
      <c r="G23" s="220">
        <f>+SUM($C$21:G21)</f>
      </c>
      <c r="H23" s="220">
        <f>+SUM($C$21:H21)</f>
      </c>
      <c r="I23" s="1"/>
    </row>
    <row x14ac:dyDescent="0.25" r="24" customHeight="1" ht="18.75">
      <c r="A24" s="106"/>
      <c r="B24" s="243"/>
      <c r="C24" s="218"/>
      <c r="D24" s="218"/>
      <c r="E24" s="218"/>
      <c r="F24" s="218"/>
      <c r="G24" s="218"/>
      <c r="H24" s="218"/>
      <c r="I24" s="1"/>
    </row>
    <row x14ac:dyDescent="0.25" r="25" customHeight="1" ht="18.75">
      <c r="A25" s="116"/>
      <c r="B25" s="218"/>
      <c r="C25" s="244"/>
      <c r="D25" s="244"/>
      <c r="E25" s="244"/>
      <c r="F25" s="244"/>
      <c r="G25" s="244"/>
      <c r="H25" s="244"/>
      <c r="I25" s="245"/>
    </row>
    <row x14ac:dyDescent="0.25" r="26" customHeight="1" ht="18.75">
      <c r="A26" s="106"/>
      <c r="B26" s="218"/>
      <c r="C26" s="218"/>
      <c r="D26" s="218"/>
      <c r="E26" s="218"/>
      <c r="F26" s="218"/>
      <c r="G26" s="218"/>
      <c r="H26" s="218"/>
      <c r="I26" s="1"/>
    </row>
    <row x14ac:dyDescent="0.25" r="27" customHeight="1" ht="18.75">
      <c r="A27" s="106"/>
      <c r="B27" s="218"/>
      <c r="C27" s="218"/>
      <c r="D27" s="218"/>
      <c r="E27" s="218"/>
      <c r="F27" s="218"/>
      <c r="G27" s="218"/>
      <c r="H27" s="218"/>
      <c r="I27" s="1"/>
    </row>
    <row x14ac:dyDescent="0.25" r="28" customHeight="1" ht="18.75">
      <c r="A28" s="106"/>
      <c r="B28" s="218"/>
      <c r="C28" s="218"/>
      <c r="D28" s="218"/>
      <c r="E28" s="218"/>
      <c r="F28" s="218"/>
      <c r="G28" s="218"/>
      <c r="H28" s="218"/>
      <c r="I28" s="1"/>
    </row>
    <row x14ac:dyDescent="0.25" r="29" customHeight="1" ht="18.75">
      <c r="A29" s="106"/>
      <c r="B29" s="218"/>
      <c r="C29" s="218"/>
      <c r="D29" s="218"/>
      <c r="E29" s="218"/>
      <c r="F29" s="218"/>
      <c r="G29" s="218"/>
      <c r="H29" s="218"/>
      <c r="I29" s="1"/>
    </row>
    <row x14ac:dyDescent="0.25" r="30" customHeight="1" ht="18.75">
      <c r="A30" s="106"/>
      <c r="B30" s="218"/>
      <c r="C30" s="218"/>
      <c r="D30" s="218"/>
      <c r="E30" s="218"/>
      <c r="F30" s="218"/>
      <c r="G30" s="218"/>
      <c r="H30" s="218"/>
      <c r="I30" s="1"/>
    </row>
    <row x14ac:dyDescent="0.25" r="31" customHeight="1" ht="18.75">
      <c r="A31" s="106"/>
      <c r="B31" s="218"/>
      <c r="C31" s="218"/>
      <c r="D31" s="218"/>
      <c r="E31" s="218"/>
      <c r="F31" s="218"/>
      <c r="G31" s="218"/>
      <c r="H31" s="218"/>
      <c r="I31" s="1"/>
    </row>
    <row x14ac:dyDescent="0.25" r="32" customHeight="1" ht="18.75">
      <c r="A32" s="106"/>
      <c r="B32" s="218"/>
      <c r="C32" s="218"/>
      <c r="D32" s="218"/>
      <c r="E32" s="218"/>
      <c r="F32" s="218"/>
      <c r="G32" s="218"/>
      <c r="H32" s="218"/>
      <c r="I32" s="1"/>
    </row>
    <row x14ac:dyDescent="0.25" r="33" customHeight="1" ht="18.75">
      <c r="A33" s="106"/>
      <c r="B33" s="218"/>
      <c r="C33" s="218"/>
      <c r="D33" s="218"/>
      <c r="E33" s="218"/>
      <c r="F33" s="218"/>
      <c r="G33" s="218"/>
      <c r="H33" s="218"/>
      <c r="I33" s="1"/>
    </row>
    <row x14ac:dyDescent="0.25" r="34" customHeight="1" ht="18.75">
      <c r="A34" s="106"/>
      <c r="B34" s="218"/>
      <c r="C34" s="218"/>
      <c r="D34" s="218"/>
      <c r="E34" s="218"/>
      <c r="F34" s="218"/>
      <c r="G34" s="218"/>
      <c r="H34" s="218"/>
      <c r="I34" s="1"/>
    </row>
    <row x14ac:dyDescent="0.25" r="35" customHeight="1" ht="18.75">
      <c r="A35" s="106"/>
      <c r="B35" s="218"/>
      <c r="C35" s="218"/>
      <c r="D35" s="218"/>
      <c r="E35" s="218"/>
      <c r="F35" s="218"/>
      <c r="G35" s="218"/>
      <c r="H35" s="218"/>
      <c r="I35" s="1"/>
    </row>
    <row x14ac:dyDescent="0.25" r="36" customHeight="1" ht="18.75">
      <c r="A36" s="116"/>
      <c r="B36" s="218"/>
      <c r="C36" s="244"/>
      <c r="D36" s="244"/>
      <c r="E36" s="244"/>
      <c r="F36" s="244"/>
      <c r="G36" s="244"/>
      <c r="H36" s="244"/>
      <c r="I36" s="1"/>
    </row>
    <row x14ac:dyDescent="0.25" r="37" customHeight="1" ht="18.75">
      <c r="A37" s="218"/>
      <c r="B37" s="218"/>
      <c r="C37" s="218"/>
      <c r="D37" s="81"/>
      <c r="E37" s="81"/>
      <c r="F37" s="81"/>
      <c r="G37" s="81"/>
      <c r="H37" s="81"/>
      <c r="I37" s="1"/>
    </row>
    <row x14ac:dyDescent="0.25" r="38" customHeight="1" ht="18.75">
      <c r="A38" s="106"/>
      <c r="B38" s="106"/>
      <c r="C38" s="81"/>
      <c r="D38" s="81"/>
      <c r="E38" s="81"/>
      <c r="F38" s="81"/>
      <c r="G38" s="81"/>
      <c r="H38" s="81"/>
      <c r="I38" s="1"/>
    </row>
    <row x14ac:dyDescent="0.25" r="39" customHeight="1" ht="18.75">
      <c r="A39" s="1"/>
      <c r="B39" s="1"/>
      <c r="C39" s="246"/>
      <c r="D39" s="246"/>
      <c r="E39" s="246"/>
      <c r="F39" s="246"/>
      <c r="G39" s="246"/>
      <c r="H39" s="246"/>
      <c r="I39" s="1"/>
    </row>
  </sheetData>
  <mergeCells count="1">
    <mergeCell ref="A4:H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5"/>
  <sheetViews>
    <sheetView workbookViewId="0"/>
  </sheetViews>
  <sheetFormatPr defaultRowHeight="15" x14ac:dyDescent="0.25"/>
  <cols>
    <col min="1" max="1" style="9" width="30.576428571428572" customWidth="1" bestFit="1"/>
    <col min="2" max="2" style="9" width="3.1478571428571427" customWidth="1" bestFit="1"/>
    <col min="3" max="3" style="190" width="13.576428571428572" customWidth="1" bestFit="1"/>
    <col min="4" max="4" style="190" width="12.147857142857141" customWidth="1" bestFit="1"/>
    <col min="5" max="5" style="190" width="11.719285714285713" customWidth="1" bestFit="1"/>
    <col min="6" max="6" style="190" width="11.719285714285713" customWidth="1" bestFit="1"/>
    <col min="7" max="7" style="190" width="11.719285714285713" customWidth="1" bestFit="1"/>
    <col min="8" max="8" style="190" width="11.719285714285713" customWidth="1" bestFit="1"/>
  </cols>
  <sheetData>
    <row x14ac:dyDescent="0.25" r="1" customHeight="1" ht="18.75">
      <c r="A1" s="12"/>
      <c r="B1" s="12"/>
      <c r="C1" s="226"/>
      <c r="D1" s="226"/>
      <c r="E1" s="226"/>
      <c r="F1" s="226"/>
      <c r="G1" s="227" t="s">
        <v>12</v>
      </c>
      <c r="H1" s="228">
        <f>+Pressupostos!E1</f>
      </c>
    </row>
    <row x14ac:dyDescent="0.25" r="2" customHeight="1" ht="18.75">
      <c r="A2" s="12"/>
      <c r="B2" s="12"/>
      <c r="C2" s="38"/>
      <c r="D2" s="38"/>
      <c r="E2" s="38"/>
      <c r="F2" s="38"/>
      <c r="G2" s="38"/>
      <c r="H2" s="30">
        <f>+Pressupostos!B9</f>
      </c>
    </row>
    <row x14ac:dyDescent="0.25" r="3" customHeight="1" ht="18.75">
      <c r="A3" s="12"/>
      <c r="B3" s="12"/>
      <c r="C3" s="38"/>
      <c r="D3" s="38"/>
      <c r="E3" s="38"/>
      <c r="F3" s="38"/>
      <c r="G3" s="38"/>
      <c r="H3" s="30"/>
    </row>
    <row x14ac:dyDescent="0.25" r="4" customHeight="1" ht="18.75">
      <c r="A4" s="20" t="s">
        <v>152</v>
      </c>
      <c r="B4" s="20"/>
      <c r="C4" s="45"/>
      <c r="D4" s="45"/>
      <c r="E4" s="45"/>
      <c r="F4" s="45"/>
      <c r="G4" s="45"/>
      <c r="H4" s="45"/>
    </row>
    <row x14ac:dyDescent="0.25" r="5" customHeight="1" ht="18.75">
      <c r="A5" s="12"/>
      <c r="B5" s="12"/>
      <c r="C5" s="38"/>
      <c r="D5" s="38"/>
      <c r="E5" s="38"/>
      <c r="F5" s="38"/>
      <c r="G5" s="38"/>
      <c r="H5" s="38"/>
    </row>
    <row x14ac:dyDescent="0.25" r="6" customHeight="1" ht="18.75">
      <c r="A6" s="12"/>
      <c r="B6" s="12"/>
      <c r="C6" s="38"/>
      <c r="D6" s="38"/>
      <c r="E6" s="38"/>
      <c r="F6" s="38"/>
      <c r="G6" s="38"/>
      <c r="H6" s="38"/>
    </row>
    <row x14ac:dyDescent="0.25" r="7" customHeight="1" ht="18.75">
      <c r="A7" s="215"/>
      <c r="B7" s="215"/>
      <c r="C7" s="49">
        <f>+VN!C8</f>
      </c>
      <c r="D7" s="49">
        <f>+VN!D8</f>
      </c>
      <c r="E7" s="49">
        <f>+VN!E8</f>
      </c>
      <c r="F7" s="49">
        <f>+VN!F8</f>
      </c>
      <c r="G7" s="49">
        <f>+VN!G8</f>
      </c>
      <c r="H7" s="49">
        <f>+VN!H8</f>
      </c>
    </row>
    <row x14ac:dyDescent="0.25" r="8" customHeight="1" ht="18.75">
      <c r="A8" s="229" t="s">
        <v>153</v>
      </c>
      <c r="B8" s="229"/>
      <c r="C8" s="201"/>
      <c r="D8" s="201"/>
      <c r="E8" s="201"/>
      <c r="F8" s="201"/>
      <c r="G8" s="201"/>
      <c r="H8" s="201"/>
    </row>
    <row x14ac:dyDescent="0.25" r="9" customHeight="1" ht="18.75">
      <c r="A9" s="123" t="s">
        <v>154</v>
      </c>
      <c r="B9" s="123"/>
      <c r="C9" s="201">
        <f>+DR!B26+DR!B24+DR!B25+DR!B17</f>
      </c>
      <c r="D9" s="201">
        <f>+DR!C26+DR!C24+DR!C25+DR!C17</f>
      </c>
      <c r="E9" s="201">
        <f>+DR!D26+DR!D24+DR!D25+DR!D17</f>
      </c>
      <c r="F9" s="201">
        <f>+DR!E26+DR!E24+DR!E25+DR!E17</f>
      </c>
      <c r="G9" s="201">
        <f>+DR!F26+DR!F24+DR!F25+DR!F17</f>
      </c>
      <c r="H9" s="201">
        <f>+DR!G26+DR!G24+DR!G25+DR!G17</f>
      </c>
    </row>
    <row x14ac:dyDescent="0.25" r="10" customHeight="1" ht="18.75">
      <c r="A10" s="123" t="s">
        <v>155</v>
      </c>
      <c r="B10" s="123"/>
      <c r="C10" s="201">
        <f>+Financiamento!C15</f>
      </c>
      <c r="D10" s="201">
        <f>+Financiamento!D15</f>
      </c>
      <c r="E10" s="201">
        <f>+Financiamento!E15</f>
      </c>
      <c r="F10" s="201">
        <f>+Financiamento!F15</f>
      </c>
      <c r="G10" s="201">
        <f>+Financiamento!G15</f>
      </c>
      <c r="H10" s="201">
        <f>+Financiamento!H15</f>
      </c>
    </row>
    <row x14ac:dyDescent="0.25" r="11" customHeight="1" ht="18.75">
      <c r="A11" s="123" t="s">
        <v>156</v>
      </c>
      <c r="B11" s="123"/>
      <c r="C11" s="201">
        <f>+Financiamento!C16+Financiamento!C17+Financiamento!C19</f>
      </c>
      <c r="D11" s="201">
        <f>+Financiamento!D16+Financiamento!D17+Financiamento!D19</f>
      </c>
      <c r="E11" s="201">
        <f>+Financiamento!E16+Financiamento!E17+Financiamento!E19</f>
      </c>
      <c r="F11" s="201">
        <f>+Financiamento!F16+Financiamento!F17+Financiamento!F19</f>
      </c>
      <c r="G11" s="201">
        <f>+Financiamento!G16+Financiamento!G17+Financiamento!G19</f>
      </c>
      <c r="H11" s="201">
        <f>+Financiamento!H16+Financiamento!H17+Financiamento!H19</f>
      </c>
    </row>
    <row x14ac:dyDescent="0.25" r="12" customHeight="1" ht="18.75">
      <c r="A12" s="123" t="s">
        <v>157</v>
      </c>
      <c r="B12" s="123"/>
      <c r="C12" s="201">
        <f>+Financiamento!C18</f>
      </c>
      <c r="D12" s="201">
        <f>+Financiamento!D18</f>
      </c>
      <c r="E12" s="201">
        <f>+Financiamento!E18</f>
      </c>
      <c r="F12" s="201">
        <f>+Financiamento!F18</f>
      </c>
      <c r="G12" s="201">
        <f>+Financiamento!G18</f>
      </c>
      <c r="H12" s="201">
        <f>+Financiamento!H18</f>
      </c>
    </row>
    <row x14ac:dyDescent="0.25" r="13" customHeight="1" ht="18.75">
      <c r="A13" s="123" t="s">
        <v>158</v>
      </c>
      <c r="B13" s="123"/>
      <c r="C13" s="201"/>
      <c r="D13" s="201"/>
      <c r="E13" s="201"/>
      <c r="F13" s="201"/>
      <c r="G13" s="201"/>
      <c r="H13" s="201"/>
    </row>
    <row x14ac:dyDescent="0.25" r="14" customHeight="1" ht="18.75">
      <c r="A14" s="123" t="s">
        <v>159</v>
      </c>
      <c r="B14" s="123"/>
      <c r="C14" s="201">
        <f>+IF(FundoManeio!C24&lt;0,-FundoManeio!C24,0)</f>
      </c>
      <c r="D14" s="201">
        <f>+IF(FundoManeio!D24&lt;0,-FundoManeio!D24,0)</f>
      </c>
      <c r="E14" s="201">
        <f>+IF(FundoManeio!E24&lt;0,-FundoManeio!E24,0)</f>
      </c>
      <c r="F14" s="201">
        <f>+IF(FundoManeio!F24&lt;0,-FundoManeio!F24,0)</f>
      </c>
      <c r="G14" s="201">
        <f>+IF(FundoManeio!G24&lt;0,-FundoManeio!G24,0)</f>
      </c>
      <c r="H14" s="201">
        <f>+IF(FundoManeio!H24&lt;0,-FundoManeio!H24,0)</f>
      </c>
    </row>
    <row x14ac:dyDescent="0.25" r="15" customHeight="1" ht="18.75">
      <c r="A15" s="123" t="s">
        <v>160</v>
      </c>
      <c r="B15" s="123"/>
      <c r="C15" s="201">
        <f>+DR!B27</f>
      </c>
      <c r="D15" s="201">
        <f>+DR!C27</f>
      </c>
      <c r="E15" s="201">
        <f>+DR!D27</f>
      </c>
      <c r="F15" s="201">
        <f>+DR!E27</f>
      </c>
      <c r="G15" s="201">
        <f>+DR!F27</f>
      </c>
      <c r="H15" s="201">
        <f>+DR!G27</f>
      </c>
    </row>
    <row x14ac:dyDescent="0.25" r="16" customHeight="1" ht="18.75">
      <c r="A16" s="230"/>
      <c r="B16" s="230"/>
      <c r="C16" s="231"/>
      <c r="D16" s="231"/>
      <c r="E16" s="231"/>
      <c r="F16" s="231"/>
      <c r="G16" s="231"/>
      <c r="H16" s="231"/>
    </row>
    <row x14ac:dyDescent="0.25" r="17" customHeight="1" ht="18.75">
      <c r="A17" s="232" t="s">
        <v>161</v>
      </c>
      <c r="B17" s="232"/>
      <c r="C17" s="233">
        <f>+SUM(C9:C16)</f>
      </c>
      <c r="D17" s="233">
        <f>+SUM(D9:D16)</f>
      </c>
      <c r="E17" s="233">
        <f>+SUM(E9:E16)</f>
      </c>
      <c r="F17" s="233">
        <f>+SUM(F9:F16)</f>
      </c>
      <c r="G17" s="233">
        <f>+SUM(G9:G16)</f>
      </c>
      <c r="H17" s="233">
        <f>+SUM(H9:H16)</f>
      </c>
    </row>
    <row x14ac:dyDescent="0.25" r="18" customHeight="1" ht="14.25">
      <c r="A18" s="229" t="s">
        <v>162</v>
      </c>
      <c r="B18" s="229"/>
      <c r="C18" s="234"/>
      <c r="D18" s="234"/>
      <c r="E18" s="234"/>
      <c r="F18" s="234"/>
      <c r="G18" s="234"/>
      <c r="H18" s="234"/>
    </row>
    <row x14ac:dyDescent="0.25" r="19" customHeight="1" ht="18.75">
      <c r="A19" s="123" t="s">
        <v>163</v>
      </c>
      <c r="B19" s="215"/>
      <c r="C19" s="201">
        <f>+Investimento!C29</f>
      </c>
      <c r="D19" s="201">
        <f>+Investimento!D29</f>
      </c>
      <c r="E19" s="201">
        <f>+Investimento!E29</f>
      </c>
      <c r="F19" s="201">
        <f>+Investimento!F29</f>
      </c>
      <c r="G19" s="201">
        <f>+Investimento!G29</f>
      </c>
      <c r="H19" s="201">
        <f>+Investimento!H29</f>
      </c>
    </row>
    <row x14ac:dyDescent="0.25" r="20" customHeight="1" ht="18.75">
      <c r="A20" s="123" t="s">
        <v>164</v>
      </c>
      <c r="B20" s="215"/>
      <c r="C20" s="201">
        <f>+IF(FundoManeio!C24&gt;0,FundoManeio!C24,0)</f>
      </c>
      <c r="D20" s="201">
        <f>+IF(FundoManeio!D24&gt;0,FundoManeio!D24,0)</f>
      </c>
      <c r="E20" s="201">
        <f>+IF(FundoManeio!E24&gt;0,FundoManeio!E24,0)</f>
      </c>
      <c r="F20" s="201">
        <f>+IF(FundoManeio!F24&gt;0,FundoManeio!F24,0)</f>
      </c>
      <c r="G20" s="201">
        <f>+IF(FundoManeio!G24&gt;0,FundoManeio!G24,0)</f>
      </c>
      <c r="H20" s="201">
        <f>+IF(FundoManeio!H24&gt;0,FundoManeio!H24,0)</f>
      </c>
    </row>
    <row x14ac:dyDescent="0.25" r="21" customHeight="1" ht="18.75">
      <c r="A21" s="123" t="s">
        <v>165</v>
      </c>
      <c r="B21" s="215"/>
      <c r="C21" s="201"/>
      <c r="D21" s="201">
        <f>+DR!B30</f>
      </c>
      <c r="E21" s="201">
        <f>+DR!C30</f>
      </c>
      <c r="F21" s="201">
        <f>+DR!D30</f>
      </c>
      <c r="G21" s="201">
        <f>+DR!E30</f>
      </c>
      <c r="H21" s="201">
        <f>+DR!F30</f>
      </c>
    </row>
    <row x14ac:dyDescent="0.25" r="22" customHeight="1" ht="18.75">
      <c r="A22" s="123" t="s">
        <v>166</v>
      </c>
      <c r="B22" s="215"/>
      <c r="C22" s="235"/>
      <c r="D22" s="235"/>
      <c r="E22" s="235"/>
      <c r="F22" s="235"/>
      <c r="G22" s="235"/>
      <c r="H22" s="235"/>
    </row>
    <row x14ac:dyDescent="0.25" r="23" customHeight="1" ht="18.75">
      <c r="A23" s="123" t="s">
        <v>167</v>
      </c>
      <c r="B23" s="215"/>
      <c r="C23" s="201">
        <f>+Financiamento!C104</f>
      </c>
      <c r="D23" s="201">
        <f>+Financiamento!D104</f>
      </c>
      <c r="E23" s="201">
        <f>+Financiamento!E104</f>
      </c>
      <c r="F23" s="201">
        <f>+Financiamento!F104</f>
      </c>
      <c r="G23" s="201">
        <f>+Financiamento!G104</f>
      </c>
      <c r="H23" s="201">
        <f>+Financiamento!H104</f>
      </c>
    </row>
    <row x14ac:dyDescent="0.25" r="24" customHeight="1" ht="18.75">
      <c r="A24" s="123" t="s">
        <v>168</v>
      </c>
      <c r="B24" s="215"/>
      <c r="C24" s="201">
        <f>+DR!B28</f>
      </c>
      <c r="D24" s="201">
        <f>+DR!C28</f>
      </c>
      <c r="E24" s="201">
        <f>+DR!D28</f>
      </c>
      <c r="F24" s="201">
        <f>+DR!E28</f>
      </c>
      <c r="G24" s="201">
        <f>+DR!F28</f>
      </c>
      <c r="H24" s="201">
        <f>+DR!G28</f>
      </c>
    </row>
    <row x14ac:dyDescent="0.25" r="25" customHeight="1" ht="18.75">
      <c r="A25" s="230"/>
      <c r="B25" s="230"/>
      <c r="C25" s="201"/>
      <c r="D25" s="201"/>
      <c r="E25" s="201"/>
      <c r="F25" s="201"/>
      <c r="G25" s="201"/>
      <c r="H25" s="201"/>
    </row>
    <row x14ac:dyDescent="0.25" r="26" customHeight="1" ht="18.75">
      <c r="A26" s="232" t="s">
        <v>169</v>
      </c>
      <c r="B26" s="232"/>
      <c r="C26" s="233">
        <f>+SUM(C19:C25)</f>
      </c>
      <c r="D26" s="233">
        <f>+SUM(D19:D25)</f>
      </c>
      <c r="E26" s="233">
        <f>+SUM(E19:E25)</f>
      </c>
      <c r="F26" s="233">
        <f>+SUM(F19:F25)</f>
      </c>
      <c r="G26" s="233">
        <f>+SUM(G19:G25)</f>
      </c>
      <c r="H26" s="233">
        <f>+SUM(H19:H25)</f>
      </c>
    </row>
    <row x14ac:dyDescent="0.25" r="27" customHeight="1" ht="18.75">
      <c r="A27" s="236" t="s">
        <v>170</v>
      </c>
      <c r="B27" s="236"/>
      <c r="C27" s="233">
        <f>+C17-C26</f>
      </c>
      <c r="D27" s="233">
        <f>+D17-D26</f>
      </c>
      <c r="E27" s="233">
        <f>+E17-E26</f>
      </c>
      <c r="F27" s="233">
        <f>+F17-F26</f>
      </c>
      <c r="G27" s="233">
        <f>+G17-G26</f>
      </c>
      <c r="H27" s="233">
        <f>+H17-H26</f>
      </c>
    </row>
    <row x14ac:dyDescent="0.25" r="28" customHeight="1" ht="18.75">
      <c r="A28" s="236" t="s">
        <v>171</v>
      </c>
      <c r="B28" s="236"/>
      <c r="C28" s="233">
        <f>+C27</f>
      </c>
      <c r="D28" s="233">
        <f>+C28+D27</f>
      </c>
      <c r="E28" s="233">
        <f>+D28+E27</f>
      </c>
      <c r="F28" s="233">
        <f>+E28+F27</f>
      </c>
      <c r="G28" s="233">
        <f>+F28+G27</f>
      </c>
      <c r="H28" s="233">
        <f>+G28+H27</f>
      </c>
    </row>
    <row x14ac:dyDescent="0.25" r="29" customHeight="1" ht="18.75">
      <c r="A29" s="236" t="s">
        <v>172</v>
      </c>
      <c r="B29" s="236"/>
      <c r="C29" s="237">
        <v>0</v>
      </c>
      <c r="D29" s="237">
        <v>0</v>
      </c>
      <c r="E29" s="237">
        <v>0</v>
      </c>
      <c r="F29" s="237">
        <v>7.275957614183426e-12</v>
      </c>
      <c r="G29" s="237">
        <v>7.275957614183426e-12</v>
      </c>
      <c r="H29" s="237">
        <v>1.4551915228366852e-11</v>
      </c>
    </row>
    <row x14ac:dyDescent="0.25" r="30" customHeight="1" ht="18.75">
      <c r="A30" s="236" t="s">
        <v>173</v>
      </c>
      <c r="B30" s="236"/>
      <c r="C30" s="237">
        <f>+C28-C29</f>
      </c>
      <c r="D30" s="237">
        <f>+D28-D29</f>
      </c>
      <c r="E30" s="237">
        <f>+E28-E29</f>
      </c>
      <c r="F30" s="237">
        <f>+F28-F29</f>
      </c>
      <c r="G30" s="237">
        <f>+G28-G29</f>
      </c>
      <c r="H30" s="237">
        <f>+H28-H29</f>
      </c>
    </row>
    <row x14ac:dyDescent="0.25" r="31" customHeight="1" ht="18.75">
      <c r="A31" s="12"/>
      <c r="B31" s="12"/>
      <c r="C31" s="38"/>
      <c r="D31" s="38"/>
      <c r="E31" s="38"/>
      <c r="F31" s="38"/>
      <c r="G31" s="38"/>
      <c r="H31" s="38"/>
    </row>
    <row x14ac:dyDescent="0.25" r="32" customHeight="1" ht="18.75">
      <c r="A32" s="12"/>
      <c r="B32" s="12"/>
      <c r="C32" s="38"/>
      <c r="D32" s="38"/>
      <c r="E32" s="38"/>
      <c r="F32" s="38"/>
      <c r="G32" s="38"/>
      <c r="H32" s="38"/>
    </row>
    <row x14ac:dyDescent="0.25" r="33" customHeight="1" ht="18.75">
      <c r="A33" s="12"/>
      <c r="B33" s="12"/>
      <c r="C33" s="38"/>
      <c r="D33" s="38"/>
      <c r="E33" s="38"/>
      <c r="F33" s="38"/>
      <c r="G33" s="38"/>
      <c r="H33" s="38"/>
    </row>
    <row x14ac:dyDescent="0.25" r="34" customHeight="1" ht="18.75">
      <c r="A34" s="36"/>
      <c r="B34" s="12"/>
      <c r="C34" s="38"/>
      <c r="D34" s="38"/>
      <c r="E34" s="30"/>
      <c r="F34" s="38"/>
      <c r="G34" s="38"/>
      <c r="H34" s="38"/>
    </row>
    <row x14ac:dyDescent="0.25" r="35" customHeight="1" ht="18.75">
      <c r="A35" s="12"/>
      <c r="B35" s="12"/>
      <c r="C35" s="38"/>
      <c r="D35" s="38"/>
      <c r="E35" s="38"/>
      <c r="F35" s="38"/>
      <c r="G35" s="38"/>
      <c r="H35" s="38"/>
    </row>
  </sheetData>
  <mergeCells count="11">
    <mergeCell ref="A4:H4"/>
    <mergeCell ref="A8:B8"/>
    <mergeCell ref="A16:B16"/>
    <mergeCell ref="A17:B17"/>
    <mergeCell ref="A18:B18"/>
    <mergeCell ref="A25:B25"/>
    <mergeCell ref="A26:B26"/>
    <mergeCell ref="A27:B27"/>
    <mergeCell ref="A28:B28"/>
    <mergeCell ref="A29:B29"/>
    <mergeCell ref="A30:B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9"/>
  <sheetViews>
    <sheetView workbookViewId="0"/>
  </sheetViews>
  <sheetFormatPr defaultRowHeight="15" x14ac:dyDescent="0.25"/>
  <cols>
    <col min="1" max="1" style="9" width="26.433571428571426" customWidth="1" bestFit="1"/>
    <col min="2" max="2" style="9" width="7.576428571428571" customWidth="1" bestFit="1"/>
    <col min="3" max="3" style="190" width="13.576428571428572" customWidth="1" bestFit="1"/>
    <col min="4" max="4" style="190" width="13.576428571428572" customWidth="1" bestFit="1"/>
    <col min="5" max="5" style="190" width="13.576428571428572" customWidth="1" bestFit="1"/>
    <col min="6" max="6" style="190" width="13.576428571428572" customWidth="1" bestFit="1"/>
    <col min="7" max="7" style="190" width="13.576428571428572" customWidth="1" bestFit="1"/>
    <col min="8" max="8" style="190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18.75">
      <c r="A1" s="12"/>
      <c r="B1" s="12"/>
      <c r="C1" s="212"/>
      <c r="D1" s="212"/>
      <c r="E1" s="212"/>
      <c r="F1" s="212"/>
      <c r="G1" s="213" t="s">
        <v>12</v>
      </c>
      <c r="H1" s="214">
        <f>+Pressupostos!E1</f>
      </c>
      <c r="I1" s="1"/>
      <c r="J1" s="1"/>
    </row>
    <row x14ac:dyDescent="0.25" r="2" customHeight="1" ht="18.75">
      <c r="A2" s="16"/>
      <c r="B2" s="16"/>
      <c r="C2" s="192"/>
      <c r="D2" s="192"/>
      <c r="E2" s="192"/>
      <c r="F2" s="192"/>
      <c r="G2" s="192"/>
      <c r="H2" s="30">
        <f>+Pressupostos!B9</f>
      </c>
      <c r="I2" s="1"/>
      <c r="J2" s="1"/>
    </row>
    <row x14ac:dyDescent="0.25" r="3" customHeight="1" ht="18.75">
      <c r="A3" s="16"/>
      <c r="B3" s="16"/>
      <c r="C3" s="192"/>
      <c r="D3" s="192"/>
      <c r="E3" s="192"/>
      <c r="F3" s="192"/>
      <c r="G3" s="192"/>
      <c r="H3" s="30"/>
      <c r="I3" s="1"/>
      <c r="J3" s="1"/>
    </row>
    <row x14ac:dyDescent="0.25" r="4" customHeight="1" ht="18.75">
      <c r="A4" s="20" t="s">
        <v>118</v>
      </c>
      <c r="B4" s="20"/>
      <c r="C4" s="45"/>
      <c r="D4" s="45"/>
      <c r="E4" s="45"/>
      <c r="F4" s="45"/>
      <c r="G4" s="45"/>
      <c r="H4" s="45"/>
      <c r="I4" s="1"/>
      <c r="J4" s="1"/>
    </row>
    <row x14ac:dyDescent="0.25" r="5" customHeight="1" ht="18.75">
      <c r="A5" s="12"/>
      <c r="B5" s="12"/>
      <c r="C5" s="38"/>
      <c r="D5" s="38"/>
      <c r="E5" s="38"/>
      <c r="F5" s="38"/>
      <c r="G5" s="38"/>
      <c r="H5" s="38"/>
      <c r="I5" s="1"/>
      <c r="J5" s="1"/>
    </row>
    <row x14ac:dyDescent="0.25" r="6" customHeight="1" ht="18.75">
      <c r="A6" s="12"/>
      <c r="B6" s="12"/>
      <c r="C6" s="38"/>
      <c r="D6" s="38"/>
      <c r="E6" s="38"/>
      <c r="F6" s="38"/>
      <c r="G6" s="38"/>
      <c r="H6" s="38"/>
      <c r="I6" s="1"/>
      <c r="J6" s="1"/>
    </row>
    <row x14ac:dyDescent="0.25" r="7" customHeight="1" ht="18.75">
      <c r="A7" s="215"/>
      <c r="B7" s="215"/>
      <c r="C7" s="49">
        <f>+VN!C8</f>
      </c>
      <c r="D7" s="49">
        <f>+VN!D8</f>
      </c>
      <c r="E7" s="49">
        <f>+VN!E8</f>
      </c>
      <c r="F7" s="49">
        <f>+VN!F8</f>
      </c>
      <c r="G7" s="49">
        <f>+VN!G8</f>
      </c>
      <c r="H7" s="49">
        <f>+VN!H8</f>
      </c>
      <c r="I7" s="1"/>
      <c r="J7" s="1"/>
    </row>
    <row x14ac:dyDescent="0.25" r="8" customHeight="1" ht="18.75">
      <c r="A8" s="216" t="s">
        <v>119</v>
      </c>
      <c r="B8" s="216"/>
      <c r="C8" s="217"/>
      <c r="D8" s="217"/>
      <c r="E8" s="217"/>
      <c r="F8" s="217"/>
      <c r="G8" s="217"/>
      <c r="H8" s="217"/>
      <c r="I8" s="1"/>
      <c r="J8" s="1"/>
    </row>
    <row x14ac:dyDescent="0.25" r="9" customHeight="1" ht="18.75">
      <c r="A9" s="55" t="s">
        <v>120</v>
      </c>
      <c r="B9" s="201"/>
      <c r="C9" s="56">
        <f>SUM(C10:C13)</f>
      </c>
      <c r="D9" s="56">
        <f>SUM(D10:D13)</f>
      </c>
      <c r="E9" s="56">
        <f>SUM(E10:E13)</f>
      </c>
      <c r="F9" s="56">
        <f>SUM(F10:F13)</f>
      </c>
      <c r="G9" s="56">
        <f>SUM(G10:G13)</f>
      </c>
      <c r="H9" s="56">
        <f>SUM(H10:H13)</f>
      </c>
      <c r="I9" s="1"/>
      <c r="J9" s="1"/>
    </row>
    <row x14ac:dyDescent="0.25" r="10" customHeight="1" ht="18.75">
      <c r="A10" s="123" t="s">
        <v>121</v>
      </c>
      <c r="B10" s="201"/>
      <c r="C10" s="201">
        <f>+Investimento!C180</f>
      </c>
      <c r="D10" s="201">
        <f>+Investimento!D180</f>
      </c>
      <c r="E10" s="201">
        <f>+Investimento!E180</f>
      </c>
      <c r="F10" s="201">
        <f>+Investimento!F180</f>
      </c>
      <c r="G10" s="201">
        <f>+Investimento!G180</f>
      </c>
      <c r="H10" s="201">
        <f>+Investimento!H180</f>
      </c>
      <c r="I10" s="1"/>
      <c r="J10" s="1"/>
    </row>
    <row x14ac:dyDescent="0.25" r="11" customHeight="1" ht="18.75">
      <c r="A11" s="123" t="s">
        <v>122</v>
      </c>
      <c r="B11" s="201"/>
      <c r="C11" s="201">
        <f>+Investimento!C179</f>
      </c>
      <c r="D11" s="201">
        <f>+Investimento!D179</f>
      </c>
      <c r="E11" s="201">
        <f>+Investimento!E179</f>
      </c>
      <c r="F11" s="201">
        <f>+Investimento!F179</f>
      </c>
      <c r="G11" s="201">
        <f>+Investimento!G179</f>
      </c>
      <c r="H11" s="201">
        <f>+Investimento!H179</f>
      </c>
      <c r="I11" s="1"/>
      <c r="J11" s="1"/>
    </row>
    <row x14ac:dyDescent="0.25" r="12" customHeight="1" ht="18.75">
      <c r="A12" s="123" t="s">
        <v>123</v>
      </c>
      <c r="B12" s="201"/>
      <c r="C12" s="201">
        <f>+Investimento!C181</f>
      </c>
      <c r="D12" s="201">
        <f>+Investimento!D181</f>
      </c>
      <c r="E12" s="201">
        <f>+Investimento!E181</f>
      </c>
      <c r="F12" s="201">
        <f>+Investimento!F181</f>
      </c>
      <c r="G12" s="201">
        <f>+Investimento!G181</f>
      </c>
      <c r="H12" s="201">
        <f>+Investimento!H181</f>
      </c>
      <c r="I12" s="1"/>
      <c r="J12" s="1"/>
    </row>
    <row x14ac:dyDescent="0.25" r="13" customHeight="1" ht="18.75">
      <c r="A13" s="123" t="s">
        <v>124</v>
      </c>
      <c r="B13" s="201"/>
      <c r="C13" s="201"/>
      <c r="D13" s="201"/>
      <c r="E13" s="201"/>
      <c r="F13" s="201"/>
      <c r="G13" s="201"/>
      <c r="H13" s="201"/>
      <c r="I13" s="1"/>
      <c r="J13" s="1"/>
    </row>
    <row x14ac:dyDescent="0.25" r="14" customHeight="1" ht="18.75">
      <c r="A14" s="123"/>
      <c r="B14" s="201"/>
      <c r="C14" s="201"/>
      <c r="D14" s="201"/>
      <c r="E14" s="201"/>
      <c r="F14" s="201"/>
      <c r="G14" s="201"/>
      <c r="H14" s="201"/>
      <c r="I14" s="1"/>
      <c r="J14" s="1"/>
    </row>
    <row x14ac:dyDescent="0.25" r="15" customHeight="1" ht="18.75">
      <c r="A15" s="55" t="s">
        <v>125</v>
      </c>
      <c r="B15" s="201"/>
      <c r="C15" s="56">
        <f>SUM(C16:C22)</f>
      </c>
      <c r="D15" s="56">
        <f>SUM(D16:D22)</f>
      </c>
      <c r="E15" s="56">
        <f>SUM(E16:E22)</f>
      </c>
      <c r="F15" s="56">
        <f>SUM(F16:F22)</f>
      </c>
      <c r="G15" s="56">
        <f>SUM(G16:G22)</f>
      </c>
      <c r="H15" s="56">
        <f>SUM(H16:H22)</f>
      </c>
      <c r="I15" s="218"/>
      <c r="J15" s="218"/>
    </row>
    <row x14ac:dyDescent="0.25" r="16" customHeight="1" ht="18.75">
      <c r="A16" s="123" t="s">
        <v>126</v>
      </c>
      <c r="B16" s="201"/>
      <c r="C16" s="201">
        <f>+FundoManeio!C11</f>
      </c>
      <c r="D16" s="201">
        <f>+FundoManeio!D11</f>
      </c>
      <c r="E16" s="201">
        <f>+FundoManeio!E11</f>
      </c>
      <c r="F16" s="201">
        <f>+FundoManeio!F11</f>
      </c>
      <c r="G16" s="201">
        <f>+FundoManeio!G11</f>
      </c>
      <c r="H16" s="201">
        <f>+FundoManeio!H11</f>
      </c>
      <c r="I16" s="218"/>
      <c r="J16" s="218"/>
    </row>
    <row x14ac:dyDescent="0.25" r="17" customHeight="1" ht="18.75">
      <c r="A17" s="123" t="s">
        <v>127</v>
      </c>
      <c r="B17" s="201"/>
      <c r="C17" s="201">
        <f>+FundoManeio!C10-VN!C87</f>
      </c>
      <c r="D17" s="201">
        <f>+FundoManeio!D10-SUM(VN!C87:D87)</f>
      </c>
      <c r="E17" s="201">
        <f>+FundoManeio!E10-SUM(VN!C87:E87)</f>
      </c>
      <c r="F17" s="201">
        <f>+FundoManeio!F10-SUM(VN!C87:F87)</f>
      </c>
      <c r="G17" s="201">
        <f>+FundoManeio!G10-SUM(VN!C87:G87)</f>
      </c>
      <c r="H17" s="201">
        <f>+FundoManeio!H10-SUM(VN!C87:H87)</f>
      </c>
      <c r="I17" s="218"/>
      <c r="J17" s="218"/>
    </row>
    <row x14ac:dyDescent="0.25" r="18" customHeight="1" ht="18.75">
      <c r="A18" s="123" t="s">
        <v>128</v>
      </c>
      <c r="B18" s="201"/>
      <c r="C18" s="201">
        <f>+FundoManeio!C12</f>
      </c>
      <c r="D18" s="201">
        <f>+FundoManeio!D12</f>
      </c>
      <c r="E18" s="201">
        <f>+FundoManeio!E12</f>
      </c>
      <c r="F18" s="201">
        <f>+FundoManeio!F12</f>
      </c>
      <c r="G18" s="201">
        <f>+FundoManeio!G12</f>
      </c>
      <c r="H18" s="201">
        <f>+FundoManeio!H12</f>
      </c>
      <c r="I18" s="218"/>
      <c r="J18" s="218"/>
    </row>
    <row x14ac:dyDescent="0.25" r="19" customHeight="1" ht="18.75">
      <c r="A19" s="123" t="s">
        <v>129</v>
      </c>
      <c r="B19" s="201"/>
      <c r="C19" s="201"/>
      <c r="D19" s="201"/>
      <c r="E19" s="201"/>
      <c r="F19" s="201"/>
      <c r="G19" s="201"/>
      <c r="H19" s="201"/>
      <c r="I19" s="218"/>
      <c r="J19" s="218"/>
    </row>
    <row x14ac:dyDescent="0.25" r="20" customHeight="1" ht="18.75">
      <c r="A20" s="123" t="s">
        <v>130</v>
      </c>
      <c r="B20" s="201"/>
      <c r="C20" s="201"/>
      <c r="D20" s="201"/>
      <c r="E20" s="201"/>
      <c r="F20" s="201"/>
      <c r="G20" s="201"/>
      <c r="H20" s="201"/>
      <c r="I20" s="218"/>
      <c r="J20" s="218"/>
    </row>
    <row x14ac:dyDescent="0.25" r="21" customHeight="1" ht="18.75">
      <c r="A21" s="123" t="s">
        <v>131</v>
      </c>
      <c r="B21" s="201"/>
      <c r="C21" s="201"/>
      <c r="D21" s="201"/>
      <c r="E21" s="201"/>
      <c r="F21" s="201"/>
      <c r="G21" s="201"/>
      <c r="H21" s="201"/>
      <c r="I21" s="218"/>
      <c r="J21" s="218"/>
    </row>
    <row x14ac:dyDescent="0.25" r="22" customHeight="1" ht="18.75">
      <c r="A22" s="123" t="s">
        <v>132</v>
      </c>
      <c r="B22" s="201"/>
      <c r="C22" s="201">
        <f>+IF(PlanoFinanceiro!C29&gt;0,PlanoFinanceiro!C29,0)+FundoManeio!C9</f>
      </c>
      <c r="D22" s="201">
        <f>+IF(PlanoFinanceiro!D29&gt;0,PlanoFinanceiro!D29,0)+FundoManeio!D9</f>
      </c>
      <c r="E22" s="201">
        <f>+IF(PlanoFinanceiro!E29&gt;0,PlanoFinanceiro!E29,0)+FundoManeio!E9</f>
      </c>
      <c r="F22" s="201">
        <f>+IF(PlanoFinanceiro!F29&gt;0,PlanoFinanceiro!F29,0)+FundoManeio!F9</f>
      </c>
      <c r="G22" s="201">
        <f>+IF(PlanoFinanceiro!G29&gt;0,PlanoFinanceiro!G29,0)+FundoManeio!G9</f>
      </c>
      <c r="H22" s="201">
        <f>+IF(PlanoFinanceiro!H29&gt;0,PlanoFinanceiro!H29,0)+FundoManeio!H9</f>
      </c>
      <c r="I22" s="218"/>
      <c r="J22" s="218"/>
    </row>
    <row x14ac:dyDescent="0.25" r="23" customHeight="1" ht="18.75">
      <c r="A23" s="219" t="s">
        <v>133</v>
      </c>
      <c r="B23" s="219"/>
      <c r="C23" s="220">
        <f>+C15+C9</f>
      </c>
      <c r="D23" s="220">
        <f>+D15+D9</f>
      </c>
      <c r="E23" s="220">
        <f>+E15+E9</f>
      </c>
      <c r="F23" s="220">
        <f>+F15+F9</f>
      </c>
      <c r="G23" s="220">
        <f>+G15+G9</f>
      </c>
      <c r="H23" s="220">
        <f>+H15+H9</f>
      </c>
      <c r="I23" s="218"/>
      <c r="J23" s="218"/>
    </row>
    <row x14ac:dyDescent="0.25" r="24" customHeight="1" ht="18.75">
      <c r="A24" s="60"/>
      <c r="B24" s="12"/>
      <c r="C24" s="35"/>
      <c r="D24" s="30"/>
      <c r="E24" s="30"/>
      <c r="F24" s="30"/>
      <c r="G24" s="30"/>
      <c r="H24" s="38"/>
      <c r="I24" s="218"/>
      <c r="J24" s="218"/>
    </row>
    <row x14ac:dyDescent="0.25" r="25" customHeight="1" ht="18.75">
      <c r="A25" s="155" t="s">
        <v>134</v>
      </c>
      <c r="B25" s="155"/>
      <c r="C25" s="217"/>
      <c r="D25" s="217"/>
      <c r="E25" s="217"/>
      <c r="F25" s="217"/>
      <c r="G25" s="217"/>
      <c r="H25" s="217"/>
      <c r="I25" s="218"/>
      <c r="J25" s="218"/>
    </row>
    <row x14ac:dyDescent="0.25" r="26" customHeight="1" ht="18.75">
      <c r="A26" s="123" t="s">
        <v>135</v>
      </c>
      <c r="B26" s="201"/>
      <c r="C26" s="201">
        <f>+Financiamento!C15</f>
      </c>
      <c r="D26" s="201">
        <f>+C26+Financiamento!D15</f>
      </c>
      <c r="E26" s="201">
        <f>+D26+Financiamento!E15</f>
      </c>
      <c r="F26" s="201">
        <f>+E26+Financiamento!F15</f>
      </c>
      <c r="G26" s="201">
        <f>+F26+Financiamento!G15</f>
      </c>
      <c r="H26" s="201">
        <f>+G26+Financiamento!H15</f>
      </c>
      <c r="I26" s="218"/>
      <c r="J26" s="218"/>
    </row>
    <row x14ac:dyDescent="0.25" r="27" customHeight="1" ht="18.75">
      <c r="A27" s="123" t="s">
        <v>136</v>
      </c>
      <c r="B27" s="201"/>
      <c r="C27" s="201"/>
      <c r="D27" s="201"/>
      <c r="E27" s="201"/>
      <c r="F27" s="201"/>
      <c r="G27" s="201"/>
      <c r="H27" s="201"/>
      <c r="I27" s="218"/>
      <c r="J27" s="218"/>
    </row>
    <row x14ac:dyDescent="0.25" r="28" customHeight="1" ht="18.75">
      <c r="A28" s="123" t="s">
        <v>137</v>
      </c>
      <c r="B28" s="201"/>
      <c r="C28" s="201">
        <f>+Financiamento!C16</f>
      </c>
      <c r="D28" s="201">
        <f>+C28+Financiamento!D16</f>
      </c>
      <c r="E28" s="201">
        <f>+D28+Financiamento!E16</f>
      </c>
      <c r="F28" s="201">
        <f>+E28+Financiamento!F16</f>
      </c>
      <c r="G28" s="201">
        <f>+F28+Financiamento!G16</f>
      </c>
      <c r="H28" s="201">
        <f>+G28+Financiamento!H16</f>
      </c>
      <c r="I28" s="218"/>
      <c r="J28" s="218"/>
    </row>
    <row x14ac:dyDescent="0.25" r="29" customHeight="1" ht="18.75">
      <c r="A29" s="123" t="s">
        <v>138</v>
      </c>
      <c r="B29" s="201"/>
      <c r="C29" s="201"/>
      <c r="D29" s="201">
        <f>+C32-PlanoFinanceiro!D22</f>
      </c>
      <c r="E29" s="201">
        <f>+D29+D32-PlanoFinanceiro!E22</f>
      </c>
      <c r="F29" s="201">
        <f>+E29+E32-PlanoFinanceiro!F22</f>
      </c>
      <c r="G29" s="201">
        <f>+F29+F32-PlanoFinanceiro!G22</f>
      </c>
      <c r="H29" s="201">
        <f>+G29+G32-PlanoFinanceiro!H22</f>
      </c>
      <c r="I29" s="218"/>
      <c r="J29" s="218"/>
    </row>
    <row x14ac:dyDescent="0.25" r="30" customHeight="1" ht="18.75">
      <c r="A30" s="123" t="s">
        <v>139</v>
      </c>
      <c r="B30" s="201"/>
      <c r="C30" s="201"/>
      <c r="D30" s="201"/>
      <c r="E30" s="201"/>
      <c r="F30" s="201"/>
      <c r="G30" s="201"/>
      <c r="H30" s="201"/>
      <c r="I30" s="218"/>
      <c r="J30" s="218"/>
    </row>
    <row x14ac:dyDescent="0.25" r="31" customHeight="1" ht="18.75">
      <c r="A31" s="123" t="s">
        <v>140</v>
      </c>
      <c r="B31" s="201"/>
      <c r="C31" s="201">
        <f>+Financiamento!C19</f>
      </c>
      <c r="D31" s="201">
        <f>+C31+Financiamento!D19</f>
      </c>
      <c r="E31" s="201">
        <f>+D31+Financiamento!E19</f>
      </c>
      <c r="F31" s="201">
        <f>+E31+Financiamento!F19</f>
      </c>
      <c r="G31" s="201">
        <f>+F31+Financiamento!G19</f>
      </c>
      <c r="H31" s="201">
        <f>+G31+Financiamento!H19</f>
      </c>
      <c r="I31" s="218"/>
      <c r="J31" s="218"/>
    </row>
    <row x14ac:dyDescent="0.25" r="32" customHeight="1" ht="18.75">
      <c r="A32" s="123" t="s">
        <v>141</v>
      </c>
      <c r="B32" s="201"/>
      <c r="C32" s="201">
        <f>+DR!B31</f>
      </c>
      <c r="D32" s="201">
        <f>+DR!C31</f>
      </c>
      <c r="E32" s="201">
        <f>+DR!D31</f>
      </c>
      <c r="F32" s="201">
        <f>+DR!E31</f>
      </c>
      <c r="G32" s="201">
        <f>+DR!F31</f>
      </c>
      <c r="H32" s="201">
        <f>+DR!G31</f>
      </c>
      <c r="I32" s="218"/>
      <c r="J32" s="218"/>
    </row>
    <row x14ac:dyDescent="0.25" r="33" customHeight="1" ht="18.75">
      <c r="A33" s="219" t="s">
        <v>142</v>
      </c>
      <c r="B33" s="219"/>
      <c r="C33" s="220">
        <f>SUM(C26:C32)</f>
      </c>
      <c r="D33" s="220">
        <f>SUM(D26:D32)</f>
      </c>
      <c r="E33" s="220">
        <f>SUM(E26:E32)</f>
      </c>
      <c r="F33" s="220">
        <f>SUM(F26:F32)</f>
      </c>
      <c r="G33" s="220">
        <f>SUM(G26:G32)</f>
      </c>
      <c r="H33" s="220">
        <f>SUM(H26:H32)</f>
      </c>
      <c r="I33" s="218"/>
      <c r="J33" s="218"/>
    </row>
    <row x14ac:dyDescent="0.25" r="34" customHeight="1" ht="18.75">
      <c r="A34" s="12"/>
      <c r="B34" s="12"/>
      <c r="C34" s="30"/>
      <c r="D34" s="30"/>
      <c r="E34" s="30"/>
      <c r="F34" s="30"/>
      <c r="G34" s="30"/>
      <c r="H34" s="30"/>
      <c r="I34" s="218"/>
      <c r="J34" s="218"/>
    </row>
    <row x14ac:dyDescent="0.25" r="35" customHeight="1" ht="18.75">
      <c r="A35" s="221" t="s">
        <v>143</v>
      </c>
      <c r="B35" s="221"/>
      <c r="C35" s="56"/>
      <c r="D35" s="56"/>
      <c r="E35" s="56"/>
      <c r="F35" s="56"/>
      <c r="G35" s="56"/>
      <c r="H35" s="56"/>
      <c r="I35" s="218"/>
      <c r="J35" s="218"/>
    </row>
    <row x14ac:dyDescent="0.25" r="36" customHeight="1" ht="18.75">
      <c r="A36" s="55"/>
      <c r="B36" s="201"/>
      <c r="C36" s="201"/>
      <c r="D36" s="201"/>
      <c r="E36" s="201"/>
      <c r="F36" s="201"/>
      <c r="G36" s="201"/>
      <c r="H36" s="201"/>
      <c r="I36" s="218"/>
      <c r="J36" s="218"/>
    </row>
    <row x14ac:dyDescent="0.25" r="37" customHeight="1" ht="18.75">
      <c r="A37" s="55" t="s">
        <v>144</v>
      </c>
      <c r="B37" s="201"/>
      <c r="C37" s="56">
        <f>SUM(C38:C40)</f>
      </c>
      <c r="D37" s="56">
        <f>SUM(D38:D40)</f>
      </c>
      <c r="E37" s="56">
        <f>SUM(E38:E40)</f>
      </c>
      <c r="F37" s="56">
        <f>SUM(F38:F40)</f>
      </c>
      <c r="G37" s="56">
        <f>SUM(G38:G40)</f>
      </c>
      <c r="H37" s="56">
        <f>SUM(H38:H40)</f>
      </c>
      <c r="I37" s="218"/>
      <c r="J37" s="218"/>
    </row>
    <row x14ac:dyDescent="0.25" r="38" customHeight="1" ht="18.75">
      <c r="A38" s="123" t="s">
        <v>145</v>
      </c>
      <c r="B38" s="201"/>
      <c r="C38" s="201"/>
      <c r="D38" s="201"/>
      <c r="E38" s="201"/>
      <c r="F38" s="201"/>
      <c r="G38" s="201"/>
      <c r="H38" s="201"/>
      <c r="I38" s="218"/>
      <c r="J38" s="218"/>
    </row>
    <row x14ac:dyDescent="0.25" r="39" customHeight="1" ht="18.75">
      <c r="A39" s="123" t="s">
        <v>146</v>
      </c>
      <c r="B39" s="201"/>
      <c r="C39" s="201">
        <f>+Financiamento!C101</f>
      </c>
      <c r="D39" s="201">
        <f>+Financiamento!D101</f>
      </c>
      <c r="E39" s="201">
        <f>+Financiamento!E101</f>
      </c>
      <c r="F39" s="201">
        <f>+Financiamento!F101</f>
      </c>
      <c r="G39" s="201">
        <f>+Financiamento!G101</f>
      </c>
      <c r="H39" s="201">
        <f>+Financiamento!H101</f>
      </c>
      <c r="I39" s="218"/>
      <c r="J39" s="218"/>
    </row>
    <row x14ac:dyDescent="0.25" r="40" customHeight="1" ht="18.75">
      <c r="A40" s="123" t="s">
        <v>147</v>
      </c>
      <c r="B40" s="201"/>
      <c r="C40" s="201"/>
      <c r="D40" s="201"/>
      <c r="E40" s="201"/>
      <c r="F40" s="201"/>
      <c r="G40" s="201"/>
      <c r="H40" s="201"/>
      <c r="I40" s="218"/>
      <c r="J40" s="218"/>
    </row>
    <row x14ac:dyDescent="0.25" r="41" customHeight="1" ht="18.75">
      <c r="A41" s="123"/>
      <c r="B41" s="201"/>
      <c r="C41" s="201"/>
      <c r="D41" s="201"/>
      <c r="E41" s="201"/>
      <c r="F41" s="201"/>
      <c r="G41" s="201"/>
      <c r="H41" s="201"/>
      <c r="I41" s="218"/>
      <c r="J41" s="218"/>
    </row>
    <row x14ac:dyDescent="0.25" r="42" customHeight="1" ht="18.75">
      <c r="A42" s="55" t="s">
        <v>148</v>
      </c>
      <c r="B42" s="201"/>
      <c r="C42" s="56">
        <f>SUM(C43:C47)</f>
      </c>
      <c r="D42" s="56">
        <f>SUM(D43:D47)</f>
      </c>
      <c r="E42" s="56">
        <f>SUM(E43:E47)</f>
      </c>
      <c r="F42" s="56">
        <f>SUM(F43:F47)</f>
      </c>
      <c r="G42" s="56">
        <f>SUM(G43:G47)</f>
      </c>
      <c r="H42" s="56">
        <f>SUM(H43:H47)</f>
      </c>
      <c r="I42" s="218"/>
      <c r="J42" s="218"/>
    </row>
    <row x14ac:dyDescent="0.25" r="43" customHeight="1" ht="18.75">
      <c r="A43" s="123" t="s">
        <v>149</v>
      </c>
      <c r="B43" s="201"/>
      <c r="C43" s="201">
        <f>+FundoManeio!C17</f>
      </c>
      <c r="D43" s="201">
        <f>+FundoManeio!D17</f>
      </c>
      <c r="E43" s="201">
        <f>+FundoManeio!E17</f>
      </c>
      <c r="F43" s="201">
        <f>+FundoManeio!F17</f>
      </c>
      <c r="G43" s="201">
        <f>+FundoManeio!G17</f>
      </c>
      <c r="H43" s="201">
        <f>+FundoManeio!H17</f>
      </c>
      <c r="I43" s="218"/>
      <c r="J43" s="218"/>
    </row>
    <row x14ac:dyDescent="0.25" r="44" customHeight="1" ht="18.75">
      <c r="A44" s="123" t="s">
        <v>128</v>
      </c>
      <c r="B44" s="201"/>
      <c r="C44" s="201">
        <f>+FundoManeio!C18+DR!B30</f>
      </c>
      <c r="D44" s="201">
        <f>+FundoManeio!D18+DR!C30</f>
      </c>
      <c r="E44" s="201">
        <f>+FundoManeio!E18+DR!D30</f>
      </c>
      <c r="F44" s="201">
        <f>+FundoManeio!F18+DR!E30</f>
      </c>
      <c r="G44" s="201">
        <f>+FundoManeio!G18+DR!F30</f>
      </c>
      <c r="H44" s="201">
        <f>+FundoManeio!H18+DR!G30</f>
      </c>
      <c r="I44" s="218"/>
      <c r="J44" s="218"/>
    </row>
    <row x14ac:dyDescent="0.25" r="45" customHeight="1" ht="18.75">
      <c r="A45" s="123" t="s">
        <v>129</v>
      </c>
      <c r="B45" s="201"/>
      <c r="C45" s="201">
        <f>+Financiamento!C17</f>
      </c>
      <c r="D45" s="201">
        <f>+C45+Financiamento!D17</f>
      </c>
      <c r="E45" s="201">
        <f>+D45+Financiamento!E17</f>
      </c>
      <c r="F45" s="201">
        <f>+E45+Financiamento!F17</f>
      </c>
      <c r="G45" s="201">
        <f>+F45+Financiamento!G17</f>
      </c>
      <c r="H45" s="201">
        <f>+G45+Financiamento!H17</f>
      </c>
      <c r="I45" s="218"/>
      <c r="J45" s="218"/>
    </row>
    <row x14ac:dyDescent="0.25" r="46" customHeight="1" ht="18.75">
      <c r="A46" s="123" t="s">
        <v>146</v>
      </c>
      <c r="B46" s="201"/>
      <c r="C46" s="201">
        <f>+IF(PlanoFinanceiro!C29&lt;0,-PlanoFinanceiro!C29,0)</f>
      </c>
      <c r="D46" s="201">
        <f>+IF(PlanoFinanceiro!D29&lt;0,-PlanoFinanceiro!D29,0)</f>
      </c>
      <c r="E46" s="201">
        <f>+IF(PlanoFinanceiro!E29&lt;0,-PlanoFinanceiro!E29,0)</f>
      </c>
      <c r="F46" s="201">
        <f>+IF(PlanoFinanceiro!F29&lt;0,-PlanoFinanceiro!F29,0)</f>
      </c>
      <c r="G46" s="201">
        <f>+IF(PlanoFinanceiro!G29&lt;0,-PlanoFinanceiro!G29,0)</f>
      </c>
      <c r="H46" s="201">
        <f>+IF(PlanoFinanceiro!H29&lt;0,-PlanoFinanceiro!H29,0)</f>
      </c>
      <c r="I46" s="218"/>
      <c r="J46" s="218"/>
    </row>
    <row x14ac:dyDescent="0.25" r="47" customHeight="1" ht="18.75">
      <c r="A47" s="123" t="s">
        <v>147</v>
      </c>
      <c r="B47" s="201"/>
      <c r="C47" s="201"/>
      <c r="D47" s="201"/>
      <c r="E47" s="201"/>
      <c r="F47" s="201"/>
      <c r="G47" s="201"/>
      <c r="H47" s="201"/>
      <c r="I47" s="218"/>
      <c r="J47" s="218"/>
    </row>
    <row x14ac:dyDescent="0.25" r="48" customHeight="1" ht="18.75">
      <c r="A48" s="55"/>
      <c r="B48" s="201"/>
      <c r="C48" s="201"/>
      <c r="D48" s="201"/>
      <c r="E48" s="201"/>
      <c r="F48" s="201"/>
      <c r="G48" s="201"/>
      <c r="H48" s="201"/>
      <c r="I48" s="218"/>
      <c r="J48" s="218"/>
    </row>
    <row x14ac:dyDescent="0.25" r="49" customHeight="1" ht="18.75">
      <c r="A49" s="219" t="s">
        <v>150</v>
      </c>
      <c r="B49" s="219"/>
      <c r="C49" s="220">
        <f>+C42+C37</f>
      </c>
      <c r="D49" s="220">
        <f>+D42+D37</f>
      </c>
      <c r="E49" s="220">
        <f>+E42+E37</f>
      </c>
      <c r="F49" s="220">
        <f>+F42+F37</f>
      </c>
      <c r="G49" s="220">
        <f>+G42+G37</f>
      </c>
      <c r="H49" s="220">
        <f>+H42+H37</f>
      </c>
      <c r="I49" s="218"/>
      <c r="J49" s="218"/>
    </row>
    <row x14ac:dyDescent="0.25" r="50" customHeight="1" ht="18.75">
      <c r="A50" s="30"/>
      <c r="B50" s="30"/>
      <c r="C50" s="30"/>
      <c r="D50" s="38"/>
      <c r="E50" s="38"/>
      <c r="F50" s="38"/>
      <c r="G50" s="38"/>
      <c r="H50" s="38"/>
      <c r="I50" s="218"/>
      <c r="J50" s="218"/>
    </row>
    <row x14ac:dyDescent="0.25" r="51" customHeight="1" ht="18.75">
      <c r="A51" s="219" t="s">
        <v>151</v>
      </c>
      <c r="B51" s="219"/>
      <c r="C51" s="220">
        <f>+C49+C33</f>
      </c>
      <c r="D51" s="220">
        <f>+D49+D33</f>
      </c>
      <c r="E51" s="220">
        <f>+E49+E33</f>
      </c>
      <c r="F51" s="220">
        <f>+F49+F33</f>
      </c>
      <c r="G51" s="220">
        <f>+G49+G33</f>
      </c>
      <c r="H51" s="220">
        <f>+H49+H33</f>
      </c>
      <c r="I51" s="218"/>
      <c r="J51" s="218"/>
    </row>
    <row x14ac:dyDescent="0.25" r="52" customHeight="1" ht="18.75">
      <c r="A52" s="1"/>
      <c r="B52" s="1"/>
      <c r="C52" s="222"/>
      <c r="D52" s="222"/>
      <c r="E52" s="222"/>
      <c r="F52" s="222"/>
      <c r="G52" s="222"/>
      <c r="H52" s="222"/>
      <c r="I52" s="1"/>
      <c r="J52" s="1"/>
    </row>
    <row x14ac:dyDescent="0.25" r="53" customHeight="1" ht="18.75">
      <c r="A53" s="1"/>
      <c r="B53" s="1"/>
      <c r="C53" s="223">
        <f>+C23-C51</f>
      </c>
      <c r="D53" s="223">
        <f>+D23-D51</f>
      </c>
      <c r="E53" s="223">
        <f>+E23-E51</f>
      </c>
      <c r="F53" s="223">
        <f>+F23-F51</f>
      </c>
      <c r="G53" s="223">
        <f>+G23-G51</f>
      </c>
      <c r="H53" s="223">
        <f>+H23-H51</f>
      </c>
      <c r="I53" s="1"/>
      <c r="J53" s="1"/>
    </row>
    <row x14ac:dyDescent="0.25" r="54" customHeight="1" ht="18.75">
      <c r="A54" s="1"/>
      <c r="B54" s="1"/>
      <c r="C54" s="222"/>
      <c r="D54" s="224">
        <f>+D53-C53</f>
      </c>
      <c r="E54" s="224">
        <f>+E53-D53</f>
      </c>
      <c r="F54" s="224">
        <f>+F53-E53</f>
      </c>
      <c r="G54" s="224">
        <f>+G53-F53</f>
      </c>
      <c r="H54" s="224">
        <f>+H53-G53</f>
      </c>
      <c r="I54" s="1"/>
      <c r="J54" s="1"/>
    </row>
    <row x14ac:dyDescent="0.25" r="55" customHeight="1" ht="18.75">
      <c r="A55" s="1"/>
      <c r="B55" s="1"/>
      <c r="C55" s="222"/>
      <c r="D55" s="222"/>
      <c r="E55" s="222"/>
      <c r="F55" s="222"/>
      <c r="G55" s="222"/>
      <c r="H55" s="222"/>
      <c r="I55" s="1"/>
      <c r="J55" s="1"/>
    </row>
    <row x14ac:dyDescent="0.25" r="56" customHeight="1" ht="18.75">
      <c r="A56" s="1"/>
      <c r="B56" s="1"/>
      <c r="C56" s="222"/>
      <c r="D56" s="224"/>
      <c r="E56" s="224"/>
      <c r="F56" s="224"/>
      <c r="G56" s="222"/>
      <c r="H56" s="222"/>
      <c r="I56" s="1"/>
      <c r="J56" s="1"/>
    </row>
    <row x14ac:dyDescent="0.25" r="57" customHeight="1" ht="18.75">
      <c r="A57" s="1"/>
      <c r="B57" s="1"/>
      <c r="C57" s="225"/>
      <c r="D57" s="225"/>
      <c r="E57" s="225"/>
      <c r="F57" s="225"/>
      <c r="G57" s="225"/>
      <c r="H57" s="225"/>
      <c r="I57" s="1"/>
      <c r="J57" s="1"/>
    </row>
    <row x14ac:dyDescent="0.25" r="58" customHeight="1" ht="18.75">
      <c r="A58" s="1"/>
      <c r="B58" s="1"/>
      <c r="C58" s="225"/>
      <c r="D58" s="225"/>
      <c r="E58" s="225"/>
      <c r="F58" s="225"/>
      <c r="G58" s="225"/>
      <c r="H58" s="225"/>
      <c r="I58" s="1"/>
      <c r="J58" s="1"/>
    </row>
    <row x14ac:dyDescent="0.25" r="59" customHeight="1" ht="18.75">
      <c r="A59" s="1"/>
      <c r="B59" s="1"/>
      <c r="C59" s="225"/>
      <c r="D59" s="225"/>
      <c r="E59" s="225"/>
      <c r="F59" s="225"/>
      <c r="G59" s="225"/>
      <c r="H59" s="225"/>
      <c r="I59" s="1"/>
      <c r="J59" s="1"/>
    </row>
  </sheetData>
  <mergeCells count="8">
    <mergeCell ref="A4:H4"/>
    <mergeCell ref="A8:B8"/>
    <mergeCell ref="A23:B23"/>
    <mergeCell ref="A25:B25"/>
    <mergeCell ref="A33:B33"/>
    <mergeCell ref="A35:B35"/>
    <mergeCell ref="A49:B49"/>
    <mergeCell ref="A51:B5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8"/>
  <sheetViews>
    <sheetView workbookViewId="0"/>
  </sheetViews>
  <sheetFormatPr defaultRowHeight="15" x14ac:dyDescent="0.25"/>
  <cols>
    <col min="1" max="1" style="209" width="42.86214285714286" customWidth="1" bestFit="1"/>
    <col min="2" max="2" style="210" width="13.576428571428572" customWidth="1" bestFit="1"/>
    <col min="3" max="3" style="210" width="13.576428571428572" customWidth="1" bestFit="1"/>
    <col min="4" max="4" style="210" width="13.576428571428572" customWidth="1" bestFit="1"/>
    <col min="5" max="5" style="211" width="13.576428571428572" customWidth="1" bestFit="1"/>
    <col min="6" max="6" style="211" width="13.576428571428572" customWidth="1" bestFit="1"/>
    <col min="7" max="7" style="211" width="13.576428571428572" customWidth="1" bestFit="1"/>
  </cols>
  <sheetData>
    <row x14ac:dyDescent="0.25" r="1" customHeight="1" ht="18.75">
      <c r="A1" s="12"/>
      <c r="B1" s="38"/>
      <c r="C1" s="192"/>
      <c r="D1" s="192"/>
      <c r="E1" s="193"/>
      <c r="F1" s="194">
        <f>+VN!G1</f>
      </c>
      <c r="G1" s="195">
        <f>+Pressupostos!E1</f>
      </c>
    </row>
    <row x14ac:dyDescent="0.25" r="2" customHeight="1" ht="18.75">
      <c r="A2" s="12"/>
      <c r="B2" s="38"/>
      <c r="C2" s="38"/>
      <c r="D2" s="38"/>
      <c r="E2" s="196"/>
      <c r="F2" s="196"/>
      <c r="G2" s="196"/>
    </row>
    <row x14ac:dyDescent="0.25" r="3" customHeight="1" ht="18.75">
      <c r="A3" s="12"/>
      <c r="B3" s="38"/>
      <c r="C3" s="38"/>
      <c r="D3" s="38"/>
      <c r="E3" s="196"/>
      <c r="F3" s="196"/>
      <c r="G3" s="196"/>
    </row>
    <row x14ac:dyDescent="0.25" r="4" customHeight="1" ht="18.75">
      <c r="A4" s="20" t="s">
        <v>98</v>
      </c>
      <c r="B4" s="45"/>
      <c r="C4" s="45"/>
      <c r="D4" s="45"/>
      <c r="E4" s="197"/>
      <c r="F4" s="197"/>
      <c r="G4" s="197"/>
    </row>
    <row x14ac:dyDescent="0.25" r="5" customHeight="1" ht="18.75">
      <c r="A5" s="12"/>
      <c r="B5" s="38"/>
      <c r="C5" s="38"/>
      <c r="D5" s="38"/>
      <c r="E5" s="196"/>
      <c r="F5" s="196"/>
      <c r="G5" s="196"/>
    </row>
    <row x14ac:dyDescent="0.25" r="6" customHeight="1" ht="18.75">
      <c r="A6" s="198" t="s">
        <v>99</v>
      </c>
      <c r="B6" s="199">
        <f>+VN!C8</f>
      </c>
      <c r="C6" s="199">
        <f>+VN!D8</f>
      </c>
      <c r="D6" s="199">
        <f>+VN!E8</f>
      </c>
      <c r="E6" s="199">
        <f>+VN!F8</f>
      </c>
      <c r="F6" s="199">
        <f>+VN!G8</f>
      </c>
      <c r="G6" s="199">
        <f>+VN!H8</f>
      </c>
    </row>
    <row x14ac:dyDescent="0.25" r="7" customHeight="1" ht="18.75">
      <c r="A7" s="123" t="s">
        <v>100</v>
      </c>
      <c r="B7" s="200"/>
      <c r="C7" s="201">
        <f>+(DR!C8/DR!B8)-1</f>
      </c>
      <c r="D7" s="201">
        <f>+(DR!D8/DR!C8)-1</f>
      </c>
      <c r="E7" s="200">
        <f>+(DR!E8/DR!D8)-1</f>
      </c>
      <c r="F7" s="200">
        <f>+(DR!F8/DR!E8)-1</f>
      </c>
      <c r="G7" s="200">
        <f>+(DR!G8/DR!F8)-1</f>
      </c>
    </row>
    <row x14ac:dyDescent="0.25" r="8" customHeight="1" ht="18.75">
      <c r="A8" s="123" t="s">
        <v>101</v>
      </c>
      <c r="B8" s="202">
        <f>DR!B31/DR!B8</f>
      </c>
      <c r="C8" s="202">
        <f>DR!C31/DR!C8</f>
      </c>
      <c r="D8" s="202">
        <f>DR!D31/DR!D8</f>
      </c>
      <c r="E8" s="203">
        <f>DR!E31/DR!E8</f>
      </c>
      <c r="F8" s="203">
        <f>DR!F31/DR!F8</f>
      </c>
      <c r="G8" s="203">
        <f>DR!G31/DR!G8</f>
      </c>
    </row>
    <row x14ac:dyDescent="0.25" r="9" customHeight="1" ht="18.75">
      <c r="A9" s="12"/>
      <c r="B9" s="38"/>
      <c r="C9" s="38"/>
      <c r="D9" s="38"/>
      <c r="E9" s="196"/>
      <c r="F9" s="196"/>
      <c r="G9" s="196"/>
    </row>
    <row x14ac:dyDescent="0.25" r="10" customHeight="1" ht="18.75">
      <c r="A10" s="198" t="s">
        <v>102</v>
      </c>
      <c r="B10" s="199">
        <f>+B6</f>
      </c>
      <c r="C10" s="199">
        <f>+C6</f>
      </c>
      <c r="D10" s="199">
        <f>+D6</f>
      </c>
      <c r="E10" s="199">
        <f>+E6</f>
      </c>
      <c r="F10" s="199">
        <f>+F6</f>
      </c>
      <c r="G10" s="199">
        <f>+G6</f>
      </c>
    </row>
    <row x14ac:dyDescent="0.25" r="11" customHeight="1" ht="18.75">
      <c r="A11" s="123" t="s">
        <v>103</v>
      </c>
      <c r="B11" s="201">
        <f>DR!B31/Balanço!C23</f>
      </c>
      <c r="C11" s="201">
        <f>DR!C31/Balanço!D23</f>
      </c>
      <c r="D11" s="201">
        <f>DR!D31/Balanço!E23</f>
      </c>
      <c r="E11" s="200">
        <f>DR!E31/Balanço!F23</f>
      </c>
      <c r="F11" s="200">
        <f>DR!F31/Balanço!G23</f>
      </c>
      <c r="G11" s="200">
        <f>DR!G31/Balanço!H23</f>
      </c>
    </row>
    <row x14ac:dyDescent="0.25" r="12" customHeight="1" ht="18.75">
      <c r="A12" s="123" t="s">
        <v>104</v>
      </c>
      <c r="B12" s="201">
        <f>+DR!B26/Balanço!C23</f>
      </c>
      <c r="C12" s="201">
        <f>+DR!C26/Balanço!D23</f>
      </c>
      <c r="D12" s="201">
        <f>+DR!D26/Balanço!E23</f>
      </c>
      <c r="E12" s="200">
        <f>+DR!E26/Balanço!F23</f>
      </c>
      <c r="F12" s="200">
        <f>+DR!F26/Balanço!G23</f>
      </c>
      <c r="G12" s="200">
        <f>+DR!G26/Balanço!H23</f>
      </c>
    </row>
    <row x14ac:dyDescent="0.25" r="13" customHeight="1" ht="18.75">
      <c r="A13" s="123" t="s">
        <v>105</v>
      </c>
      <c r="B13" s="201">
        <f>DR!B8/Balanço!C23</f>
      </c>
      <c r="C13" s="201">
        <f>DR!C8/Balanço!D23</f>
      </c>
      <c r="D13" s="201">
        <f>DR!D8/Balanço!E23</f>
      </c>
      <c r="E13" s="200">
        <f>DR!E8/Balanço!F23</f>
      </c>
      <c r="F13" s="200">
        <f>DR!F8/Balanço!G23</f>
      </c>
      <c r="G13" s="200">
        <f>DR!G8/Balanço!H23</f>
      </c>
    </row>
    <row x14ac:dyDescent="0.25" r="14" customHeight="1" ht="18.75">
      <c r="A14" s="123" t="s">
        <v>106</v>
      </c>
      <c r="B14" s="202">
        <f>+DR!B31/Balanço!C33</f>
      </c>
      <c r="C14" s="202">
        <f>+DR!C31/Balanço!D33</f>
      </c>
      <c r="D14" s="202">
        <f>+DR!D31/Balanço!E33</f>
      </c>
      <c r="E14" s="203">
        <f>+DR!E31/Balanço!F33</f>
      </c>
      <c r="F14" s="203">
        <f>+DR!F31/Balanço!G33</f>
      </c>
      <c r="G14" s="203">
        <f>+DR!G31/Balanço!H33</f>
      </c>
    </row>
    <row x14ac:dyDescent="0.25" r="15" customHeight="1" ht="18.75">
      <c r="A15" s="12"/>
      <c r="B15" s="38"/>
      <c r="C15" s="38"/>
      <c r="D15" s="38"/>
      <c r="E15" s="196"/>
      <c r="F15" s="196"/>
      <c r="G15" s="196"/>
    </row>
    <row x14ac:dyDescent="0.25" r="16" customHeight="1" ht="18.75">
      <c r="A16" s="198" t="s">
        <v>107</v>
      </c>
      <c r="B16" s="204">
        <f>+B6</f>
      </c>
      <c r="C16" s="204">
        <f>+C6</f>
      </c>
      <c r="D16" s="204">
        <f>+D6</f>
      </c>
      <c r="E16" s="204">
        <f>+E6</f>
      </c>
      <c r="F16" s="204">
        <f>+F6</f>
      </c>
      <c r="G16" s="204">
        <f>+G6</f>
      </c>
    </row>
    <row x14ac:dyDescent="0.25" r="17" customHeight="1" ht="18.75">
      <c r="A17" s="123" t="s">
        <v>108</v>
      </c>
      <c r="B17" s="201">
        <f>Balanço!C33/Balanço!C23</f>
      </c>
      <c r="C17" s="201">
        <f>Balanço!D33/Balanço!D23</f>
      </c>
      <c r="D17" s="201">
        <f>Balanço!E33/Balanço!E23</f>
      </c>
      <c r="E17" s="200">
        <f>Balanço!F33/Balanço!F23</f>
      </c>
      <c r="F17" s="200">
        <f>Balanço!G33/Balanço!G23</f>
      </c>
      <c r="G17" s="200">
        <f>Balanço!H33/Balanço!H23</f>
      </c>
    </row>
    <row x14ac:dyDescent="0.25" r="18" customHeight="1" ht="18.75">
      <c r="A18" s="123" t="s">
        <v>109</v>
      </c>
      <c r="B18" s="201">
        <f>Balanço!C23/Balanço!C49</f>
      </c>
      <c r="C18" s="201">
        <f>Balanço!D23/Balanço!D49</f>
      </c>
      <c r="D18" s="201">
        <f>Balanço!E23/Balanço!E49</f>
      </c>
      <c r="E18" s="200">
        <f>Balanço!F23/Balanço!F49</f>
      </c>
      <c r="F18" s="200">
        <f>Balanço!G23/Balanço!G49</f>
      </c>
      <c r="G18" s="200">
        <f>Balanço!H23/Balanço!H49</f>
      </c>
    </row>
    <row x14ac:dyDescent="0.25" r="19" customHeight="1" ht="18.75">
      <c r="A19" s="123" t="s">
        <v>110</v>
      </c>
      <c r="B19" s="205">
        <f>+DR!B26/DR!B28</f>
      </c>
      <c r="C19" s="205">
        <f>+DR!C26/DR!C28</f>
      </c>
      <c r="D19" s="205">
        <f>+DR!D26/DR!D28</f>
      </c>
      <c r="E19" s="206">
        <f>+DR!E26/DR!E28</f>
      </c>
      <c r="F19" s="206">
        <f>+DR!F26/DR!F28</f>
      </c>
      <c r="G19" s="206">
        <f>+DR!G26/DR!G28</f>
      </c>
    </row>
    <row x14ac:dyDescent="0.25" r="20" customHeight="1" ht="18.75">
      <c r="A20" s="12"/>
      <c r="B20" s="38"/>
      <c r="C20" s="38"/>
      <c r="D20" s="38"/>
      <c r="E20" s="196"/>
      <c r="F20" s="196"/>
      <c r="G20" s="196"/>
    </row>
    <row x14ac:dyDescent="0.25" r="21" customHeight="1" ht="18.75">
      <c r="A21" s="198" t="s">
        <v>111</v>
      </c>
      <c r="B21" s="199">
        <f>+B6</f>
      </c>
      <c r="C21" s="199">
        <f>+C6</f>
      </c>
      <c r="D21" s="199">
        <f>+D6</f>
      </c>
      <c r="E21" s="199">
        <f>+E6</f>
      </c>
      <c r="F21" s="199">
        <f>+F6</f>
      </c>
      <c r="G21" s="199">
        <f>+G6</f>
      </c>
    </row>
    <row x14ac:dyDescent="0.25" r="22" customHeight="1" ht="18.75">
      <c r="A22" s="123" t="s">
        <v>112</v>
      </c>
      <c r="B22" s="201">
        <f>Balanço!C15/Balanço!C42</f>
      </c>
      <c r="C22" s="201">
        <f>Balanço!D15/Balanço!D42</f>
      </c>
      <c r="D22" s="201">
        <f>Balanço!E15/Balanço!E42</f>
      </c>
      <c r="E22" s="207">
        <f>Balanço!F15/Balanço!F42</f>
      </c>
      <c r="F22" s="207">
        <f>Balanço!G15/Balanço!G42</f>
      </c>
      <c r="G22" s="207">
        <f>Balanço!H15/Balanço!H42</f>
      </c>
    </row>
    <row x14ac:dyDescent="0.25" r="23" customHeight="1" ht="18.75">
      <c r="A23" s="123" t="s">
        <v>113</v>
      </c>
      <c r="B23" s="202">
        <f>(Balanço!C17+Balanço!C18+Balanço!C19+Balanço!C20+Balanço!C21+Balanço!C22)/Balanço!C42</f>
      </c>
      <c r="C23" s="202">
        <f>(Balanço!D17+Balanço!D18+Balanço!D19+Balanço!D20+Balanço!D21+Balanço!D22)/Balanço!D42</f>
      </c>
      <c r="D23" s="202">
        <f>(Balanço!E17+Balanço!E18+Balanço!E19+Balanço!E20+Balanço!E21+Balanço!E22)/Balanço!E42</f>
      </c>
      <c r="E23" s="208">
        <f>(Balanço!F17+Balanço!F18+Balanço!F19+Balanço!F20+Balanço!F21+Balanço!F22)/Balanço!F42</f>
      </c>
      <c r="F23" s="208">
        <f>(Balanço!G17+Balanço!G18+Balanço!G19+Balanço!G20+Balanço!G21+Balanço!G22)/Balanço!G42</f>
      </c>
      <c r="G23" s="208">
        <f>(Balanço!H17+Balanço!H18+Balanço!H19+Balanço!H20+Balanço!H21+Balanço!H22)/Balanço!H42</f>
      </c>
    </row>
    <row x14ac:dyDescent="0.25" r="24" customHeight="1" ht="18.75">
      <c r="A24" s="12"/>
      <c r="B24" s="38"/>
      <c r="C24" s="38"/>
      <c r="D24" s="38"/>
      <c r="E24" s="196"/>
      <c r="F24" s="196"/>
      <c r="G24" s="196"/>
    </row>
    <row x14ac:dyDescent="0.25" r="25" customHeight="1" ht="18.75">
      <c r="A25" s="198" t="s">
        <v>114</v>
      </c>
      <c r="B25" s="199">
        <f>+B6</f>
      </c>
      <c r="C25" s="199">
        <f>+C6</f>
      </c>
      <c r="D25" s="199">
        <f>+D6</f>
      </c>
      <c r="E25" s="199">
        <f>+E6</f>
      </c>
      <c r="F25" s="199">
        <f>+F6</f>
      </c>
      <c r="G25" s="199">
        <f>+G6</f>
      </c>
    </row>
    <row x14ac:dyDescent="0.25" r="26" customHeight="1" ht="18.75">
      <c r="A26" s="123" t="s">
        <v>115</v>
      </c>
      <c r="B26" s="201">
        <f>DR!B8-DR!B11-DR!B13-DR!B14</f>
      </c>
      <c r="C26" s="201">
        <f>DR!C8-DR!C11-DR!C13-DR!C14</f>
      </c>
      <c r="D26" s="201">
        <f>DR!D8-DR!D11-DR!D13-DR!D14</f>
      </c>
      <c r="E26" s="201">
        <f>DR!E8-DR!E11-DR!E13-DR!E14</f>
      </c>
      <c r="F26" s="201">
        <f>DR!F8-DR!F11-DR!F13-DR!F14</f>
      </c>
      <c r="G26" s="201">
        <f>DR!G8-DR!G11-DR!G13-DR!G14</f>
      </c>
    </row>
    <row x14ac:dyDescent="0.25" r="27" customHeight="1" ht="18.75">
      <c r="A27" s="123" t="s">
        <v>116</v>
      </c>
      <c r="B27" s="201">
        <f>+B26/DR!B26</f>
      </c>
      <c r="C27" s="201">
        <f>+C26/DR!C26</f>
      </c>
      <c r="D27" s="201">
        <f>+D26/DR!D26</f>
      </c>
      <c r="E27" s="200">
        <f>+E26/DR!E26</f>
      </c>
      <c r="F27" s="200">
        <f>+F26/DR!F26</f>
      </c>
      <c r="G27" s="200">
        <f>+G26/DR!G26</f>
      </c>
    </row>
    <row x14ac:dyDescent="0.25" r="28" customHeight="1" ht="18.75">
      <c r="A28" s="123" t="s">
        <v>117</v>
      </c>
      <c r="B28" s="202">
        <f>+DR!B26/DR!B29</f>
      </c>
      <c r="C28" s="202">
        <f>+DR!C26/DR!C29</f>
      </c>
      <c r="D28" s="202">
        <f>+DR!D26/DR!D29</f>
      </c>
      <c r="E28" s="203">
        <f>+DR!E26/DR!E29</f>
      </c>
      <c r="F28" s="203">
        <f>+DR!F26/DR!F29</f>
      </c>
      <c r="G28" s="203">
        <f>+DR!G26/DR!G29</f>
      </c>
    </row>
  </sheetData>
  <mergeCells count="1">
    <mergeCell ref="A4:G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03"/>
  <sheetViews>
    <sheetView workbookViewId="0"/>
  </sheetViews>
  <sheetFormatPr defaultRowHeight="15" x14ac:dyDescent="0.25"/>
  <cols>
    <col min="1" max="1" style="9" width="38.005" customWidth="1" bestFit="1"/>
    <col min="2" max="2" style="190" width="17.14785714285714" customWidth="1" bestFit="1"/>
    <col min="3" max="3" style="191" width="11.43357142857143" customWidth="1" bestFit="1"/>
    <col min="4" max="4" style="191" width="11.43357142857143" customWidth="1" bestFit="1"/>
    <col min="5" max="5" style="191" width="11.43357142857143" customWidth="1" bestFit="1"/>
    <col min="6" max="6" style="191" width="11.43357142857143" customWidth="1" bestFit="1"/>
    <col min="7" max="7" style="191" width="11.43357142857143" customWidth="1" bestFit="1"/>
    <col min="8" max="8" style="191" width="11.43357142857143" customWidth="1" bestFit="1"/>
    <col min="9" max="9" style="191" width="11.43357142857143" customWidth="1" bestFit="1"/>
    <col min="10" max="10" style="9" width="10.005" customWidth="1" bestFit="1"/>
    <col min="11" max="11" style="9" width="11.862142857142858" customWidth="1" bestFit="1"/>
    <col min="12" max="12" style="190" width="8.719285714285713" customWidth="1" bestFit="1"/>
    <col min="13" max="13" style="190" width="8.719285714285713" customWidth="1" bestFit="1"/>
    <col min="14" max="14" style="190" width="14.862142857142858" customWidth="1" bestFit="1"/>
    <col min="15" max="15" style="9" width="9.290714285714287" customWidth="1" bestFit="1"/>
    <col min="16" max="16" style="9" width="13.576428571428572" customWidth="1" bestFit="1"/>
  </cols>
  <sheetData>
    <row x14ac:dyDescent="0.25" r="1" customHeight="1" ht="18.75">
      <c r="A1" s="12"/>
      <c r="B1" s="38"/>
      <c r="C1" s="39"/>
      <c r="D1" s="39"/>
      <c r="E1" s="39"/>
      <c r="F1" s="39"/>
      <c r="G1" s="39"/>
      <c r="H1" s="40">
        <f>+VN!G1</f>
      </c>
      <c r="I1" s="41">
        <f>+Pressupostos!E1</f>
      </c>
      <c r="J1" s="42"/>
      <c r="K1" s="1"/>
      <c r="L1" s="43"/>
      <c r="M1" s="43"/>
      <c r="N1" s="43"/>
      <c r="O1" s="1"/>
      <c r="P1" s="1"/>
    </row>
    <row x14ac:dyDescent="0.25" r="2" customHeight="1" ht="18.75">
      <c r="A2" s="12"/>
      <c r="B2" s="38"/>
      <c r="C2" s="44"/>
      <c r="D2" s="44"/>
      <c r="E2" s="44"/>
      <c r="F2" s="44"/>
      <c r="G2" s="44"/>
      <c r="H2" s="44"/>
      <c r="I2" s="44"/>
      <c r="J2" s="1"/>
      <c r="K2" s="1"/>
      <c r="L2" s="43"/>
      <c r="M2" s="43"/>
      <c r="N2" s="43"/>
      <c r="O2" s="1"/>
      <c r="P2" s="1"/>
    </row>
    <row x14ac:dyDescent="0.25" r="3" customHeight="1" ht="18.75">
      <c r="A3" s="12"/>
      <c r="B3" s="38"/>
      <c r="C3" s="44"/>
      <c r="D3" s="44"/>
      <c r="E3" s="44"/>
      <c r="F3" s="44"/>
      <c r="G3" s="44"/>
      <c r="H3" s="44"/>
      <c r="I3" s="44"/>
      <c r="J3" s="1"/>
      <c r="K3" s="1"/>
      <c r="L3" s="43"/>
      <c r="M3" s="43"/>
      <c r="N3" s="43"/>
      <c r="O3" s="1"/>
      <c r="P3" s="1"/>
    </row>
    <row x14ac:dyDescent="0.25" r="4" customHeight="1" ht="19.5">
      <c r="A4" s="20" t="s">
        <v>33</v>
      </c>
      <c r="B4" s="45"/>
      <c r="C4" s="46"/>
      <c r="D4" s="46"/>
      <c r="E4" s="46"/>
      <c r="F4" s="46"/>
      <c r="G4" s="46"/>
      <c r="H4" s="46"/>
      <c r="I4" s="46"/>
      <c r="J4" s="1"/>
      <c r="K4" s="1"/>
      <c r="L4" s="43"/>
      <c r="M4" s="43"/>
      <c r="N4" s="43"/>
      <c r="O4" s="1"/>
      <c r="P4" s="1"/>
    </row>
    <row x14ac:dyDescent="0.25" r="5" customHeight="1" ht="18.75">
      <c r="A5" s="12"/>
      <c r="B5" s="38"/>
      <c r="C5" s="44"/>
      <c r="D5" s="44"/>
      <c r="E5" s="44"/>
      <c r="F5" s="44"/>
      <c r="G5" s="44"/>
      <c r="H5" s="44"/>
      <c r="I5" s="44"/>
      <c r="J5" s="1"/>
      <c r="K5" s="1"/>
      <c r="L5" s="43"/>
      <c r="M5" s="43"/>
      <c r="N5" s="43"/>
      <c r="O5" s="1"/>
      <c r="P5" s="1"/>
    </row>
    <row x14ac:dyDescent="0.25" r="6" customHeight="1" ht="18.75">
      <c r="A6" s="12"/>
      <c r="B6" s="38"/>
      <c r="C6" s="44"/>
      <c r="D6" s="44"/>
      <c r="E6" s="44"/>
      <c r="F6" s="44"/>
      <c r="G6" s="44"/>
      <c r="H6" s="44"/>
      <c r="I6" s="44"/>
      <c r="J6" s="1"/>
      <c r="K6" s="1"/>
      <c r="L6" s="43"/>
      <c r="M6" s="43"/>
      <c r="N6" s="43"/>
      <c r="O6" s="1"/>
      <c r="P6" s="1"/>
    </row>
    <row x14ac:dyDescent="0.25" r="7" customHeight="1" ht="18.75">
      <c r="A7" s="47" t="s">
        <v>34</v>
      </c>
      <c r="B7" s="48"/>
      <c r="C7" s="49">
        <f>+C27</f>
      </c>
      <c r="D7" s="49">
        <f>+D27</f>
      </c>
      <c r="E7" s="49">
        <f>+E27</f>
      </c>
      <c r="F7" s="49">
        <f>+F27</f>
      </c>
      <c r="G7" s="49">
        <f>+G27</f>
      </c>
      <c r="H7" s="49">
        <f>+H27</f>
      </c>
      <c r="I7" s="49">
        <f>+I27</f>
      </c>
      <c r="J7" s="1"/>
      <c r="K7" s="50"/>
      <c r="L7" s="51" t="s">
        <v>35</v>
      </c>
      <c r="M7" s="51" t="s">
        <v>36</v>
      </c>
      <c r="N7" s="51"/>
      <c r="O7" s="1"/>
      <c r="P7" s="1"/>
    </row>
    <row x14ac:dyDescent="0.25" r="8" customHeight="1" ht="18.75">
      <c r="A8" s="12"/>
      <c r="B8" s="38"/>
      <c r="C8" s="52"/>
      <c r="D8" s="52"/>
      <c r="E8" s="52"/>
      <c r="F8" s="52"/>
      <c r="G8" s="52"/>
      <c r="H8" s="52"/>
      <c r="I8" s="52"/>
      <c r="J8" s="53" t="s">
        <v>37</v>
      </c>
      <c r="K8" s="50" t="s">
        <v>38</v>
      </c>
      <c r="L8" s="54">
        <f>+C14</f>
      </c>
      <c r="M8" s="54">
        <f>+L8</f>
      </c>
      <c r="N8" s="54">
        <f>IF(M8&gt;0,M8/L8*12)</f>
      </c>
      <c r="O8" s="1"/>
      <c r="P8" s="1"/>
    </row>
    <row x14ac:dyDescent="0.25" r="9" customHeight="1" ht="18.75">
      <c r="A9" s="55" t="s">
        <v>39</v>
      </c>
      <c r="B9" s="49"/>
      <c r="C9" s="56">
        <f>+C29</f>
      </c>
      <c r="D9" s="56">
        <f>+D29</f>
      </c>
      <c r="E9" s="56">
        <f>+E29</f>
      </c>
      <c r="F9" s="56">
        <f>+F29</f>
      </c>
      <c r="G9" s="56">
        <f>+G29</f>
      </c>
      <c r="H9" s="56">
        <f>+H29</f>
      </c>
      <c r="I9" s="57">
        <f>+N20</f>
      </c>
      <c r="J9" s="58"/>
      <c r="K9" s="50" t="s">
        <v>40</v>
      </c>
      <c r="L9" s="54">
        <f>+D14</f>
      </c>
      <c r="M9" s="54">
        <f>+M8+L9</f>
      </c>
      <c r="N9" s="59">
        <f>IF(M9&gt;0,M9/L9*12)</f>
      </c>
      <c r="O9" s="1"/>
      <c r="P9" s="1"/>
    </row>
    <row x14ac:dyDescent="0.25" r="10" customHeight="1" ht="18.75">
      <c r="A10" s="60"/>
      <c r="B10" s="61"/>
      <c r="C10" s="62"/>
      <c r="D10" s="62"/>
      <c r="E10" s="62"/>
      <c r="F10" s="62"/>
      <c r="G10" s="62"/>
      <c r="H10" s="62"/>
      <c r="I10" s="61"/>
      <c r="J10" s="58"/>
      <c r="K10" s="50" t="s">
        <v>41</v>
      </c>
      <c r="L10" s="54">
        <f>+E14</f>
      </c>
      <c r="M10" s="54">
        <f>+M9+L10</f>
      </c>
      <c r="N10" s="59">
        <f>IF(M10&gt;0,M10/L10*12)</f>
      </c>
      <c r="O10" s="1"/>
      <c r="P10" s="1"/>
    </row>
    <row x14ac:dyDescent="0.25" r="11" customHeight="1" ht="18.75">
      <c r="A11" s="63" t="s">
        <v>42</v>
      </c>
      <c r="B11" s="64"/>
      <c r="C11" s="65">
        <f>+C70</f>
      </c>
      <c r="D11" s="65">
        <f>+D70</f>
      </c>
      <c r="E11" s="65">
        <f>+E70</f>
      </c>
      <c r="F11" s="65">
        <f>+F70</f>
      </c>
      <c r="G11" s="65">
        <f>+G70</f>
      </c>
      <c r="H11" s="65">
        <f>+H70</f>
      </c>
      <c r="I11" s="66">
        <f>+I70</f>
      </c>
      <c r="J11" s="1"/>
      <c r="K11" s="50" t="s">
        <v>43</v>
      </c>
      <c r="L11" s="54">
        <f>+F14</f>
      </c>
      <c r="M11" s="54">
        <f>+M10+L11</f>
      </c>
      <c r="N11" s="67">
        <f>IF(M11&gt;0,M11/L11*12)</f>
      </c>
      <c r="O11" s="1"/>
      <c r="P11" s="1"/>
    </row>
    <row x14ac:dyDescent="0.25" r="12" customHeight="1" ht="18.75">
      <c r="A12" s="68" t="s">
        <v>44</v>
      </c>
      <c r="B12" s="69"/>
      <c r="C12" s="70">
        <v>1</v>
      </c>
      <c r="D12" s="71">
        <f>+C12*(1+D11)</f>
      </c>
      <c r="E12" s="71">
        <f>+D12*(1+E11)</f>
      </c>
      <c r="F12" s="71">
        <f>+E12*(1+F11)</f>
      </c>
      <c r="G12" s="71">
        <f>+F12*(1+G11)</f>
      </c>
      <c r="H12" s="71">
        <f>+G12*(1+H11)</f>
      </c>
      <c r="I12" s="72">
        <f>+H12</f>
      </c>
      <c r="J12" s="1"/>
      <c r="K12" s="50" t="s">
        <v>45</v>
      </c>
      <c r="L12" s="54">
        <f>+G14</f>
      </c>
      <c r="M12" s="54">
        <f>+M11+L12</f>
      </c>
      <c r="N12" s="67">
        <f>IF(M12&gt;0,M12/L12*12)</f>
      </c>
      <c r="O12" s="1"/>
      <c r="P12" s="1"/>
    </row>
    <row x14ac:dyDescent="0.25" r="13" customHeight="1" ht="18.75">
      <c r="A13" s="1"/>
      <c r="B13" s="43"/>
      <c r="C13" s="73"/>
      <c r="D13" s="73"/>
      <c r="E13" s="73"/>
      <c r="F13" s="73"/>
      <c r="G13" s="73"/>
      <c r="H13" s="73"/>
      <c r="I13" s="74"/>
      <c r="J13" s="1"/>
      <c r="K13" s="50" t="s">
        <v>46</v>
      </c>
      <c r="L13" s="54">
        <f>+H14</f>
      </c>
      <c r="M13" s="54">
        <f>+M12+L13</f>
      </c>
      <c r="N13" s="67">
        <f>IF(M13&gt;0,M13/L13*12)</f>
      </c>
      <c r="O13" s="1"/>
      <c r="P13" s="1"/>
    </row>
    <row x14ac:dyDescent="0.25" r="14" customHeight="1" ht="18.75">
      <c r="A14" s="55" t="s">
        <v>47</v>
      </c>
      <c r="B14" s="49"/>
      <c r="C14" s="56">
        <f>+C9/C12</f>
      </c>
      <c r="D14" s="56">
        <f>+D9/D12</f>
      </c>
      <c r="E14" s="56">
        <f>+E9/E12</f>
      </c>
      <c r="F14" s="56">
        <f>+F9/F12</f>
      </c>
      <c r="G14" s="56">
        <f>+G9/G12</f>
      </c>
      <c r="H14" s="56">
        <f>+H9/H12</f>
      </c>
      <c r="I14" s="75">
        <f>+I9/I12</f>
      </c>
      <c r="J14" s="1"/>
      <c r="K14" s="1"/>
      <c r="L14" s="43"/>
      <c r="M14" s="43"/>
      <c r="N14" s="43"/>
      <c r="O14" s="1"/>
      <c r="P14" s="1"/>
    </row>
    <row x14ac:dyDescent="0.25" r="15" customHeight="1" ht="18.75">
      <c r="A15" s="12"/>
      <c r="B15" s="38"/>
      <c r="C15" s="76"/>
      <c r="D15" s="44"/>
      <c r="E15" s="44"/>
      <c r="F15" s="44"/>
      <c r="G15" s="52"/>
      <c r="H15" s="52"/>
      <c r="I15" s="77"/>
      <c r="J15" s="1"/>
      <c r="K15" s="1"/>
      <c r="L15" s="43"/>
      <c r="M15" s="43"/>
      <c r="N15" s="43"/>
      <c r="O15" s="1"/>
      <c r="P15" s="1"/>
    </row>
    <row x14ac:dyDescent="0.25" r="16" customHeight="1" ht="18.75">
      <c r="A16" s="55" t="s">
        <v>48</v>
      </c>
      <c r="B16" s="49"/>
      <c r="C16" s="56">
        <f>+C14</f>
      </c>
      <c r="D16" s="56">
        <f>+C16+D14</f>
      </c>
      <c r="E16" s="56">
        <f>+D16+E14</f>
      </c>
      <c r="F16" s="56">
        <f>+E16+F14</f>
      </c>
      <c r="G16" s="56">
        <f>+F16+G14</f>
      </c>
      <c r="H16" s="56">
        <f>+G16+H14+I14</f>
      </c>
      <c r="I16" s="78" t="s">
        <v>49</v>
      </c>
      <c r="J16" s="1"/>
      <c r="K16" s="1"/>
      <c r="L16" s="43"/>
      <c r="M16" s="43"/>
      <c r="N16" s="43"/>
      <c r="O16" s="1"/>
      <c r="P16" s="1"/>
    </row>
    <row x14ac:dyDescent="0.25" r="17" customHeight="1" ht="18.75">
      <c r="A17" s="12"/>
      <c r="B17" s="38"/>
      <c r="C17" s="76"/>
      <c r="D17" s="44"/>
      <c r="E17" s="44"/>
      <c r="F17" s="44"/>
      <c r="G17" s="52"/>
      <c r="H17" s="52"/>
      <c r="I17" s="52"/>
      <c r="J17" s="1"/>
      <c r="K17" s="79" t="s">
        <v>50</v>
      </c>
      <c r="L17" s="80"/>
      <c r="M17" s="81"/>
      <c r="N17" s="81"/>
      <c r="O17" s="1"/>
      <c r="P17" s="1"/>
    </row>
    <row x14ac:dyDescent="0.25" r="18" customHeight="1" ht="18.75">
      <c r="A18" s="55" t="s">
        <v>51</v>
      </c>
      <c r="B18" s="49"/>
      <c r="C18" s="82">
        <f>+I16</f>
      </c>
      <c r="D18" s="76"/>
      <c r="E18" s="52"/>
      <c r="F18" s="52"/>
      <c r="G18" s="76"/>
      <c r="H18" s="76"/>
      <c r="I18" s="76"/>
      <c r="J18" s="1"/>
      <c r="K18" s="83" t="s">
        <v>52</v>
      </c>
      <c r="L18" s="84"/>
      <c r="M18" s="84"/>
      <c r="N18" s="85">
        <f>($H$9*(1+Pressupostos!$B$38))/(Avaliação!$I$11-Pressupostos!$B$38)</f>
      </c>
      <c r="O18" s="1"/>
      <c r="P18" s="1"/>
    </row>
    <row x14ac:dyDescent="0.25" r="19" customHeight="1" ht="18.75">
      <c r="A19" s="12"/>
      <c r="B19" s="86"/>
      <c r="C19" s="52"/>
      <c r="D19" s="52"/>
      <c r="E19" s="52"/>
      <c r="F19" s="52"/>
      <c r="G19" s="52"/>
      <c r="H19" s="52"/>
      <c r="I19" s="52"/>
      <c r="J19" s="1"/>
      <c r="K19" s="87" t="s">
        <v>53</v>
      </c>
      <c r="L19" s="81"/>
      <c r="M19" s="81"/>
      <c r="N19" s="88"/>
      <c r="O19" s="1"/>
      <c r="P19" s="1"/>
    </row>
    <row x14ac:dyDescent="0.25" r="20" customHeight="1" ht="18.75">
      <c r="A20" s="55" t="s">
        <v>54</v>
      </c>
      <c r="B20" s="49"/>
      <c r="C20" s="82">
        <f>IRR(C9:I9,0.1)</f>
      </c>
      <c r="D20" s="89"/>
      <c r="E20" s="89"/>
      <c r="F20" s="89"/>
      <c r="G20" s="89"/>
      <c r="H20" s="52"/>
      <c r="I20" s="52"/>
      <c r="J20" s="1"/>
      <c r="K20" s="90" t="s">
        <v>55</v>
      </c>
      <c r="L20" s="91"/>
      <c r="M20" s="91"/>
      <c r="N20" s="92">
        <f>(+Balanço!$H$9+FundoManeio!$H$22)</f>
      </c>
      <c r="O20" s="1"/>
      <c r="P20" s="1"/>
    </row>
    <row x14ac:dyDescent="0.25" r="21" customHeight="1" ht="18.75">
      <c r="A21" s="12"/>
      <c r="B21" s="38"/>
      <c r="C21" s="93"/>
      <c r="D21" s="44"/>
      <c r="E21" s="44"/>
      <c r="F21" s="44"/>
      <c r="G21" s="44"/>
      <c r="H21" s="44"/>
      <c r="I21" s="44"/>
      <c r="J21" s="1"/>
      <c r="K21" s="94"/>
      <c r="L21" s="91"/>
      <c r="M21" s="91"/>
      <c r="N21" s="95"/>
      <c r="O21" s="1"/>
      <c r="P21" s="1"/>
    </row>
    <row x14ac:dyDescent="0.25" r="22" customHeight="1" ht="18.75">
      <c r="A22" s="55" t="s">
        <v>56</v>
      </c>
      <c r="B22" s="56" t="s">
        <v>57</v>
      </c>
      <c r="C22" s="96">
        <f>COUNTIF(N8:N13,"falso")</f>
      </c>
      <c r="D22" s="97" t="s">
        <v>58</v>
      </c>
      <c r="E22" s="98"/>
      <c r="F22" s="44"/>
      <c r="G22" s="44"/>
      <c r="H22" s="44"/>
      <c r="I22" s="44"/>
      <c r="J22" s="99" t="s">
        <v>59</v>
      </c>
      <c r="K22" s="99"/>
      <c r="L22" s="100"/>
      <c r="M22" s="100"/>
      <c r="N22" s="100"/>
      <c r="O22" s="99"/>
      <c r="P22" s="1"/>
    </row>
    <row x14ac:dyDescent="0.25" r="23" customHeight="1" ht="18.75">
      <c r="A23" s="60"/>
      <c r="B23" s="61"/>
      <c r="C23" s="62"/>
      <c r="D23" s="61"/>
      <c r="E23" s="101" t="s">
        <v>60</v>
      </c>
      <c r="F23" s="62"/>
      <c r="G23" s="62"/>
      <c r="H23" s="62"/>
      <c r="I23" s="62"/>
      <c r="J23" s="1"/>
      <c r="K23" s="1"/>
      <c r="L23" s="43"/>
      <c r="M23" s="43"/>
      <c r="N23" s="43"/>
      <c r="O23" s="1"/>
      <c r="P23" s="1"/>
    </row>
    <row x14ac:dyDescent="0.25" r="24" customHeight="1" ht="18.75">
      <c r="A24" s="102"/>
      <c r="B24" s="103"/>
      <c r="C24" s="104"/>
      <c r="D24" s="104"/>
      <c r="E24" s="104"/>
      <c r="F24" s="104"/>
      <c r="G24" s="104"/>
      <c r="H24" s="104"/>
      <c r="I24" s="104"/>
      <c r="J24" s="1"/>
      <c r="K24" s="1"/>
      <c r="L24" s="43"/>
      <c r="M24" s="43"/>
      <c r="N24" s="43"/>
      <c r="O24" s="1"/>
      <c r="P24" s="1"/>
    </row>
    <row x14ac:dyDescent="0.25" r="25" customHeight="1" ht="18.75">
      <c r="A25" s="102"/>
      <c r="B25" s="103"/>
      <c r="C25" s="104"/>
      <c r="D25" s="104"/>
      <c r="E25" s="104"/>
      <c r="F25" s="104"/>
      <c r="G25" s="104"/>
      <c r="H25" s="104"/>
      <c r="I25" s="104"/>
      <c r="J25" s="1"/>
      <c r="K25" s="1"/>
      <c r="L25" s="43"/>
      <c r="M25" s="43"/>
      <c r="N25" s="43"/>
      <c r="O25" s="1"/>
      <c r="P25" s="1"/>
    </row>
    <row x14ac:dyDescent="0.25" r="26" customHeight="1" ht="18.75">
      <c r="A26" s="60"/>
      <c r="B26" s="61"/>
      <c r="C26" s="62"/>
      <c r="D26" s="62"/>
      <c r="E26" s="62"/>
      <c r="F26" s="62"/>
      <c r="G26" s="62"/>
      <c r="H26" s="62"/>
      <c r="I26" s="62"/>
      <c r="J26" s="1"/>
      <c r="K26" s="1"/>
      <c r="L26" s="43"/>
      <c r="M26" s="43"/>
      <c r="N26" s="43"/>
      <c r="O26" s="1"/>
      <c r="P26" s="1"/>
    </row>
    <row x14ac:dyDescent="0.25" r="27" customHeight="1" ht="24.600000000000005">
      <c r="A27" s="105" t="s">
        <v>61</v>
      </c>
      <c r="B27" s="48"/>
      <c r="C27" s="49">
        <f>+VN!C8</f>
      </c>
      <c r="D27" s="49">
        <f>+VN!D8</f>
      </c>
      <c r="E27" s="49">
        <f>+VN!E8</f>
      </c>
      <c r="F27" s="49">
        <f>+VN!F8</f>
      </c>
      <c r="G27" s="49">
        <f>+VN!G8</f>
      </c>
      <c r="H27" s="49">
        <f>+VN!H8</f>
      </c>
      <c r="I27" s="49">
        <f>+H27+1</f>
      </c>
      <c r="J27" s="1"/>
      <c r="K27" s="50"/>
      <c r="L27" s="51" t="s">
        <v>35</v>
      </c>
      <c r="M27" s="51" t="s">
        <v>36</v>
      </c>
      <c r="N27" s="51"/>
      <c r="O27" s="106"/>
      <c r="P27" s="1"/>
    </row>
    <row x14ac:dyDescent="0.25" r="28" customHeight="1" ht="18.75">
      <c r="A28" s="12"/>
      <c r="B28" s="38"/>
      <c r="C28" s="52"/>
      <c r="D28" s="52"/>
      <c r="E28" s="52"/>
      <c r="F28" s="52"/>
      <c r="G28" s="52"/>
      <c r="H28" s="52"/>
      <c r="I28" s="52"/>
      <c r="J28" s="53" t="s">
        <v>37</v>
      </c>
      <c r="K28" s="50" t="s">
        <v>38</v>
      </c>
      <c r="L28" s="54">
        <f>+C34</f>
      </c>
      <c r="M28" s="54">
        <f>+L28</f>
      </c>
      <c r="N28" s="54">
        <f>IF(M28&gt;0,M28/L28*12)</f>
      </c>
      <c r="O28" s="106"/>
      <c r="P28" s="1"/>
    </row>
    <row x14ac:dyDescent="0.25" r="29" customHeight="1" ht="18.75">
      <c r="A29" s="55" t="s">
        <v>39</v>
      </c>
      <c r="B29" s="49"/>
      <c r="C29" s="56">
        <f>+'Cash Flow'!C21</f>
      </c>
      <c r="D29" s="56">
        <f>+'Cash Flow'!D21</f>
      </c>
      <c r="E29" s="56">
        <f>+'Cash Flow'!E21</f>
      </c>
      <c r="F29" s="56">
        <f>+'Cash Flow'!F21</f>
      </c>
      <c r="G29" s="56">
        <f>+'Cash Flow'!G21</f>
      </c>
      <c r="H29" s="56">
        <f>+'Cash Flow'!H21</f>
      </c>
      <c r="I29" s="57">
        <f>+N39</f>
      </c>
      <c r="J29" s="58"/>
      <c r="K29" s="50" t="s">
        <v>40</v>
      </c>
      <c r="L29" s="54">
        <f>+D34</f>
      </c>
      <c r="M29" s="54">
        <f>+M28+L29</f>
      </c>
      <c r="N29" s="54">
        <f>IF(M29&gt;0,M29/L29*12)</f>
      </c>
      <c r="O29" s="106"/>
      <c r="P29" s="1"/>
    </row>
    <row x14ac:dyDescent="0.25" r="30" customHeight="1" ht="18.75">
      <c r="A30" s="60"/>
      <c r="B30" s="61"/>
      <c r="C30" s="62"/>
      <c r="D30" s="62"/>
      <c r="E30" s="62"/>
      <c r="F30" s="62"/>
      <c r="G30" s="62"/>
      <c r="H30" s="62"/>
      <c r="I30" s="62"/>
      <c r="J30" s="58"/>
      <c r="K30" s="50" t="s">
        <v>41</v>
      </c>
      <c r="L30" s="54">
        <f>+E34</f>
      </c>
      <c r="M30" s="54">
        <f>+M29+L30</f>
      </c>
      <c r="N30" s="54">
        <f>IF(M30&gt;0,M30/L30*12)</f>
      </c>
      <c r="O30" s="106"/>
      <c r="P30" s="1"/>
    </row>
    <row x14ac:dyDescent="0.25" r="31" customHeight="1" ht="18.75">
      <c r="A31" s="107" t="s">
        <v>62</v>
      </c>
      <c r="B31" s="108"/>
      <c r="C31" s="65">
        <f>+C88</f>
      </c>
      <c r="D31" s="65">
        <f>+D88</f>
      </c>
      <c r="E31" s="65">
        <f>+E88</f>
      </c>
      <c r="F31" s="65">
        <f>+F88</f>
      </c>
      <c r="G31" s="65">
        <f>+G88</f>
      </c>
      <c r="H31" s="65">
        <f>+H88</f>
      </c>
      <c r="I31" s="72">
        <f>+H31</f>
      </c>
      <c r="J31" s="1"/>
      <c r="K31" s="50" t="s">
        <v>43</v>
      </c>
      <c r="L31" s="54">
        <f>+F34</f>
      </c>
      <c r="M31" s="54">
        <f>+M30+L31</f>
      </c>
      <c r="N31" s="54">
        <f>IF(M31&gt;0,M31/L31*12)</f>
      </c>
      <c r="O31" s="106"/>
      <c r="P31" s="1"/>
    </row>
    <row x14ac:dyDescent="0.25" r="32" customHeight="1" ht="18.75">
      <c r="A32" s="109" t="s">
        <v>44</v>
      </c>
      <c r="B32" s="110"/>
      <c r="C32" s="111">
        <v>1</v>
      </c>
      <c r="D32" s="112">
        <f>+C32*(1+D31)</f>
      </c>
      <c r="E32" s="112">
        <f>+D32*(1+E31)</f>
      </c>
      <c r="F32" s="112">
        <f>+E32*(1+F31)</f>
      </c>
      <c r="G32" s="112">
        <f>+F32*(1+G31)</f>
      </c>
      <c r="H32" s="112">
        <f>+G32*(1+H31)</f>
      </c>
      <c r="I32" s="113">
        <f>+H32</f>
      </c>
      <c r="J32" s="1"/>
      <c r="K32" s="50" t="s">
        <v>45</v>
      </c>
      <c r="L32" s="54">
        <f>+G34</f>
      </c>
      <c r="M32" s="54">
        <f>+M31+L32</f>
      </c>
      <c r="N32" s="54">
        <f>IF(M32&gt;0,M32/L32*12)</f>
      </c>
      <c r="O32" s="106"/>
      <c r="P32" s="1"/>
    </row>
    <row x14ac:dyDescent="0.25" r="33" customHeight="1" ht="18.75">
      <c r="A33" s="12"/>
      <c r="B33" s="114"/>
      <c r="C33" s="115"/>
      <c r="D33" s="115"/>
      <c r="E33" s="115"/>
      <c r="F33" s="115"/>
      <c r="G33" s="115"/>
      <c r="H33" s="115"/>
      <c r="I33" s="115"/>
      <c r="J33" s="1"/>
      <c r="K33" s="50" t="s">
        <v>46</v>
      </c>
      <c r="L33" s="54">
        <f>+H34</f>
      </c>
      <c r="M33" s="54">
        <f>+M32+L33</f>
      </c>
      <c r="N33" s="54">
        <f>IF(M33&gt;0,M33/L33*12)</f>
      </c>
      <c r="O33" s="106"/>
      <c r="P33" s="1"/>
    </row>
    <row x14ac:dyDescent="0.25" r="34" customHeight="1" ht="18.75">
      <c r="A34" s="55" t="s">
        <v>47</v>
      </c>
      <c r="B34" s="49"/>
      <c r="C34" s="56">
        <f>+C29/C32</f>
      </c>
      <c r="D34" s="97">
        <f>+D29/D32</f>
      </c>
      <c r="E34" s="97">
        <f>+E29/E32</f>
      </c>
      <c r="F34" s="97">
        <f>+F29/F32</f>
      </c>
      <c r="G34" s="97">
        <f>+G29/G32</f>
      </c>
      <c r="H34" s="97">
        <f>+H29/H32</f>
      </c>
      <c r="I34" s="78">
        <f>+I29/I32</f>
      </c>
      <c r="J34" s="1"/>
      <c r="K34" s="106"/>
      <c r="L34" s="81"/>
      <c r="M34" s="81"/>
      <c r="N34" s="81"/>
      <c r="O34" s="106"/>
      <c r="P34" s="1"/>
    </row>
    <row x14ac:dyDescent="0.25" r="35" customHeight="1" ht="18.75">
      <c r="A35" s="12"/>
      <c r="B35" s="38"/>
      <c r="C35" s="76"/>
      <c r="D35" s="44"/>
      <c r="E35" s="44"/>
      <c r="F35" s="44"/>
      <c r="G35" s="52"/>
      <c r="H35" s="52"/>
      <c r="I35" s="52"/>
      <c r="J35" s="1"/>
      <c r="K35" s="106"/>
      <c r="L35" s="81"/>
      <c r="M35" s="81"/>
      <c r="N35" s="81"/>
      <c r="O35" s="106"/>
      <c r="P35" s="1"/>
    </row>
    <row x14ac:dyDescent="0.25" r="36" customHeight="1" ht="18.75">
      <c r="A36" s="55" t="s">
        <v>48</v>
      </c>
      <c r="B36" s="49"/>
      <c r="C36" s="56">
        <f>+C34</f>
      </c>
      <c r="D36" s="97">
        <f>+SUM($C$34:D34)</f>
      </c>
      <c r="E36" s="97">
        <f>+SUM($C$34:E34)</f>
      </c>
      <c r="F36" s="97">
        <f>+SUM($C$34:F34)</f>
      </c>
      <c r="G36" s="97">
        <f>+SUM($C$34:G34)</f>
      </c>
      <c r="H36" s="97">
        <f>+SUM($C$34:H34)+I34</f>
      </c>
      <c r="I36" s="78" t="s">
        <v>49</v>
      </c>
      <c r="J36" s="1"/>
      <c r="K36" s="79" t="s">
        <v>50</v>
      </c>
      <c r="L36" s="80"/>
      <c r="M36" s="81"/>
      <c r="N36" s="81"/>
      <c r="O36" s="106"/>
      <c r="P36" s="1"/>
    </row>
    <row x14ac:dyDescent="0.25" r="37" customHeight="1" ht="18.75">
      <c r="A37" s="12"/>
      <c r="B37" s="38"/>
      <c r="C37" s="76"/>
      <c r="D37" s="44"/>
      <c r="E37" s="44"/>
      <c r="F37" s="44"/>
      <c r="G37" s="52"/>
      <c r="H37" s="52"/>
      <c r="I37" s="52"/>
      <c r="J37" s="1"/>
      <c r="K37" s="83" t="s">
        <v>52</v>
      </c>
      <c r="L37" s="84"/>
      <c r="M37" s="84"/>
      <c r="N37" s="85">
        <f>($H$29*(1+Pressupostos!$B$38))/(Avaliação!$I$31-Pressupostos!$B$38)</f>
      </c>
      <c r="O37" s="106"/>
      <c r="P37" s="1"/>
    </row>
    <row x14ac:dyDescent="0.25" r="38" customHeight="1" ht="18.75">
      <c r="A38" s="55" t="s">
        <v>51</v>
      </c>
      <c r="B38" s="49"/>
      <c r="C38" s="97">
        <f>+I36</f>
      </c>
      <c r="D38" s="76"/>
      <c r="E38" s="52"/>
      <c r="F38" s="52"/>
      <c r="G38" s="76"/>
      <c r="H38" s="76"/>
      <c r="I38" s="76"/>
      <c r="J38" s="1"/>
      <c r="K38" s="116" t="s">
        <v>53</v>
      </c>
      <c r="L38" s="81"/>
      <c r="M38" s="81"/>
      <c r="N38" s="88"/>
      <c r="O38" s="106"/>
      <c r="P38" s="1"/>
    </row>
    <row x14ac:dyDescent="0.25" r="39" customHeight="1" ht="12.75">
      <c r="A39" s="12"/>
      <c r="B39" s="86"/>
      <c r="C39" s="52"/>
      <c r="D39" s="52"/>
      <c r="E39" s="52"/>
      <c r="F39" s="52"/>
      <c r="G39" s="52"/>
      <c r="H39" s="52"/>
      <c r="I39" s="52"/>
      <c r="J39" s="1"/>
      <c r="K39" s="117" t="s">
        <v>63</v>
      </c>
      <c r="L39" s="118"/>
      <c r="M39" s="118"/>
      <c r="N39" s="92">
        <f>(+Balanço!$H$9+FundoManeio!$H$22)</f>
      </c>
      <c r="O39" s="106"/>
      <c r="P39" s="1"/>
    </row>
    <row x14ac:dyDescent="0.25" r="40" customHeight="1" ht="18.75">
      <c r="A40" s="55" t="s">
        <v>54</v>
      </c>
      <c r="B40" s="49"/>
      <c r="C40" s="97">
        <f>IRR(C29:I29,0.1)</f>
      </c>
      <c r="D40" s="89"/>
      <c r="E40" s="89"/>
      <c r="F40" s="89"/>
      <c r="G40" s="89"/>
      <c r="H40" s="52"/>
      <c r="I40" s="52"/>
      <c r="J40" s="1"/>
      <c r="K40" s="119"/>
      <c r="L40" s="118"/>
      <c r="M40" s="118"/>
      <c r="N40" s="95"/>
      <c r="O40" s="1"/>
      <c r="P40" s="1"/>
    </row>
    <row x14ac:dyDescent="0.25" r="41" customHeight="1" ht="18.75">
      <c r="A41" s="12"/>
      <c r="B41" s="38"/>
      <c r="C41" s="44"/>
      <c r="D41" s="44"/>
      <c r="E41" s="44"/>
      <c r="F41" s="44"/>
      <c r="G41" s="44"/>
      <c r="H41" s="44"/>
      <c r="I41" s="44"/>
      <c r="J41" s="1"/>
      <c r="K41" s="1"/>
      <c r="L41" s="43"/>
      <c r="M41" s="43"/>
      <c r="N41" s="43"/>
      <c r="O41" s="1"/>
      <c r="P41" s="1"/>
    </row>
    <row x14ac:dyDescent="0.25" r="42" customHeight="1" ht="18.75">
      <c r="A42" s="55" t="s">
        <v>56</v>
      </c>
      <c r="B42" s="49" t="s">
        <v>57</v>
      </c>
      <c r="C42" s="96">
        <f>COUNTIF(N28:N33,"falso")</f>
      </c>
      <c r="D42" s="97" t="s">
        <v>58</v>
      </c>
      <c r="E42" s="98"/>
      <c r="F42" s="44"/>
      <c r="G42" s="44"/>
      <c r="H42" s="44"/>
      <c r="I42" s="44"/>
      <c r="J42" s="99" t="s">
        <v>59</v>
      </c>
      <c r="K42" s="99"/>
      <c r="L42" s="100"/>
      <c r="M42" s="100"/>
      <c r="N42" s="100"/>
      <c r="O42" s="99"/>
      <c r="P42" s="1"/>
    </row>
    <row x14ac:dyDescent="0.25" r="43" customHeight="1" ht="18.75">
      <c r="A43" s="12"/>
      <c r="B43" s="38"/>
      <c r="C43" s="44"/>
      <c r="D43" s="62"/>
      <c r="E43" s="101" t="s">
        <v>60</v>
      </c>
      <c r="F43" s="44"/>
      <c r="G43" s="44"/>
      <c r="H43" s="44"/>
      <c r="I43" s="44"/>
      <c r="J43" s="1"/>
      <c r="K43" s="1"/>
      <c r="L43" s="43"/>
      <c r="M43" s="43"/>
      <c r="N43" s="43"/>
      <c r="O43" s="1"/>
      <c r="P43" s="1"/>
    </row>
    <row x14ac:dyDescent="0.25" r="44" customHeight="1" ht="18.75">
      <c r="A44" s="102"/>
      <c r="B44" s="103"/>
      <c r="C44" s="104"/>
      <c r="D44" s="104"/>
      <c r="E44" s="104"/>
      <c r="F44" s="104"/>
      <c r="G44" s="104"/>
      <c r="H44" s="104"/>
      <c r="I44" s="104"/>
      <c r="J44" s="1"/>
      <c r="K44" s="1"/>
      <c r="L44" s="43"/>
      <c r="M44" s="43"/>
      <c r="N44" s="43"/>
      <c r="O44" s="1"/>
      <c r="P44" s="1"/>
    </row>
    <row x14ac:dyDescent="0.25" r="45" customHeight="1" ht="18.75">
      <c r="A45" s="102"/>
      <c r="B45" s="103"/>
      <c r="C45" s="104"/>
      <c r="D45" s="104"/>
      <c r="E45" s="104"/>
      <c r="F45" s="104"/>
      <c r="G45" s="104"/>
      <c r="H45" s="104"/>
      <c r="I45" s="104"/>
      <c r="J45" s="1"/>
      <c r="K45" s="1"/>
      <c r="L45" s="43"/>
      <c r="M45" s="43"/>
      <c r="N45" s="43"/>
      <c r="O45" s="1"/>
      <c r="P45" s="1"/>
    </row>
    <row x14ac:dyDescent="0.25" r="46" customHeight="1" ht="18.75">
      <c r="A46" s="12"/>
      <c r="B46" s="38"/>
      <c r="C46" s="44"/>
      <c r="D46" s="44"/>
      <c r="E46" s="44"/>
      <c r="F46" s="44"/>
      <c r="G46" s="44"/>
      <c r="H46" s="44"/>
      <c r="I46" s="44"/>
      <c r="J46" s="1"/>
      <c r="K46" s="1"/>
      <c r="L46" s="43"/>
      <c r="M46" s="43"/>
      <c r="N46" s="43"/>
      <c r="O46" s="1"/>
      <c r="P46" s="1"/>
    </row>
    <row x14ac:dyDescent="0.25" r="47" customHeight="1" ht="18.75">
      <c r="A47" s="47" t="s">
        <v>64</v>
      </c>
      <c r="B47" s="48"/>
      <c r="C47" s="49">
        <f>+VN!C8</f>
      </c>
      <c r="D47" s="49">
        <f>+VN!D8</f>
      </c>
      <c r="E47" s="49">
        <f>+VN!E8</f>
      </c>
      <c r="F47" s="49">
        <f>+VN!F8</f>
      </c>
      <c r="G47" s="49">
        <f>+VN!G8</f>
      </c>
      <c r="H47" s="49">
        <f>+VN!H8</f>
      </c>
      <c r="I47" s="49">
        <f>H47+1</f>
      </c>
      <c r="J47" s="1"/>
      <c r="K47" s="50"/>
      <c r="L47" s="51" t="s">
        <v>35</v>
      </c>
      <c r="M47" s="51" t="s">
        <v>36</v>
      </c>
      <c r="N47" s="51"/>
      <c r="O47" s="1"/>
      <c r="P47" s="1"/>
    </row>
    <row x14ac:dyDescent="0.25" r="48" customHeight="1" ht="13.15">
      <c r="A48" s="12"/>
      <c r="B48" s="38"/>
      <c r="C48" s="52"/>
      <c r="D48" s="52"/>
      <c r="E48" s="52"/>
      <c r="F48" s="52"/>
      <c r="G48" s="52"/>
      <c r="H48" s="52"/>
      <c r="I48" s="52"/>
      <c r="J48" s="53" t="s">
        <v>37</v>
      </c>
      <c r="K48" s="50" t="s">
        <v>38</v>
      </c>
      <c r="L48" s="54">
        <f>+C54</f>
      </c>
      <c r="M48" s="54">
        <f>+L48</f>
      </c>
      <c r="N48" s="54">
        <f>IF(M48&gt;0,M48/L48*12)</f>
      </c>
      <c r="O48" s="1"/>
      <c r="P48" s="1"/>
    </row>
    <row x14ac:dyDescent="0.25" r="49" customHeight="1" ht="18.75">
      <c r="A49" s="55" t="s">
        <v>65</v>
      </c>
      <c r="B49" s="49"/>
      <c r="C49" s="56">
        <f>+'Cash Flow'!C21+PlanoFinanceiro!C12-PlanoFinanceiro!C23-DR!B28*(1-Pressupostos!$B$29)</f>
      </c>
      <c r="D49" s="56">
        <f>+'Cash Flow'!D21+PlanoFinanceiro!D12-PlanoFinanceiro!D23-DR!C28*(1-Pressupostos!$B$29)</f>
      </c>
      <c r="E49" s="56">
        <f>+'Cash Flow'!E21+PlanoFinanceiro!E12-PlanoFinanceiro!E23-DR!D28*(1-Pressupostos!$B$29)</f>
      </c>
      <c r="F49" s="56">
        <f>+'Cash Flow'!F21+PlanoFinanceiro!F12-PlanoFinanceiro!F23-DR!E28*(1-Pressupostos!$B$29)</f>
      </c>
      <c r="G49" s="56">
        <f>+'Cash Flow'!G21+PlanoFinanceiro!G12-PlanoFinanceiro!G23-DR!F28*(1-Pressupostos!$B$29)</f>
      </c>
      <c r="H49" s="56">
        <f>+'Cash Flow'!H21+PlanoFinanceiro!H12-PlanoFinanceiro!H23-DR!G28*(1-Pressupostos!$B$29)</f>
      </c>
      <c r="I49" s="57">
        <f>+N60</f>
      </c>
      <c r="J49" s="58"/>
      <c r="K49" s="50" t="s">
        <v>40</v>
      </c>
      <c r="L49" s="54">
        <f>+D54</f>
      </c>
      <c r="M49" s="54">
        <f>+M48+L49</f>
      </c>
      <c r="N49" s="120">
        <f>IF(M49&gt;0,M49/L49*12)</f>
      </c>
      <c r="O49" s="1"/>
      <c r="P49" s="1"/>
    </row>
    <row x14ac:dyDescent="0.25" r="50" customHeight="1" ht="18.75">
      <c r="A50" s="12"/>
      <c r="B50" s="114"/>
      <c r="C50" s="115"/>
      <c r="D50" s="115"/>
      <c r="E50" s="115"/>
      <c r="F50" s="115"/>
      <c r="G50" s="115"/>
      <c r="H50" s="115"/>
      <c r="I50" s="115"/>
      <c r="J50" s="58"/>
      <c r="K50" s="50" t="s">
        <v>41</v>
      </c>
      <c r="L50" s="54">
        <f>+E54</f>
      </c>
      <c r="M50" s="54">
        <f>+M49+L50</f>
      </c>
      <c r="N50" s="120">
        <f>IF(M50&gt;0,M50/L50*12)</f>
      </c>
      <c r="O50" s="1"/>
      <c r="P50" s="1"/>
    </row>
    <row x14ac:dyDescent="0.25" r="51" customHeight="1" ht="18.75">
      <c r="A51" s="107" t="s">
        <v>66</v>
      </c>
      <c r="B51" s="121"/>
      <c r="C51" s="122">
        <f>+C70</f>
      </c>
      <c r="D51" s="122">
        <f>+D70</f>
      </c>
      <c r="E51" s="122">
        <f>+E70</f>
      </c>
      <c r="F51" s="122">
        <f>+F70</f>
      </c>
      <c r="G51" s="122">
        <f>+G70</f>
      </c>
      <c r="H51" s="122">
        <f>+H70</f>
      </c>
      <c r="I51" s="122">
        <f>+I70</f>
      </c>
      <c r="J51" s="1"/>
      <c r="K51" s="50" t="s">
        <v>43</v>
      </c>
      <c r="L51" s="54">
        <f>+F54</f>
      </c>
      <c r="M51" s="54">
        <f>+M50+L51</f>
      </c>
      <c r="N51" s="67">
        <f>IF(M51&gt;0,M51/L51*12)</f>
      </c>
      <c r="O51" s="1"/>
      <c r="P51" s="1"/>
    </row>
    <row x14ac:dyDescent="0.25" r="52" customHeight="1" ht="18.75">
      <c r="A52" s="123" t="s">
        <v>44</v>
      </c>
      <c r="B52" s="110"/>
      <c r="C52" s="124">
        <v>1</v>
      </c>
      <c r="D52" s="71">
        <f>+C52*(1+D51)</f>
      </c>
      <c r="E52" s="71">
        <f>+D52*(1+E51)</f>
      </c>
      <c r="F52" s="71">
        <f>+E52*(1+F51)</f>
      </c>
      <c r="G52" s="71">
        <f>+F52*(1+G51)</f>
      </c>
      <c r="H52" s="71">
        <f>+G52*(1+H51)</f>
      </c>
      <c r="I52" s="72">
        <f>+H52</f>
      </c>
      <c r="J52" s="1"/>
      <c r="K52" s="50" t="s">
        <v>45</v>
      </c>
      <c r="L52" s="54">
        <f>+G54</f>
      </c>
      <c r="M52" s="54">
        <f>+M51+L52</f>
      </c>
      <c r="N52" s="67">
        <f>IF(M52&gt;0,M52/L52*12)</f>
      </c>
      <c r="O52" s="1"/>
      <c r="P52" s="1"/>
    </row>
    <row x14ac:dyDescent="0.25" r="53" customHeight="1" ht="18.75">
      <c r="A53" s="12"/>
      <c r="B53" s="114"/>
      <c r="C53" s="125"/>
      <c r="D53" s="126"/>
      <c r="E53" s="126"/>
      <c r="F53" s="126"/>
      <c r="G53" s="126"/>
      <c r="H53" s="126"/>
      <c r="I53" s="126"/>
      <c r="J53" s="1"/>
      <c r="K53" s="50" t="s">
        <v>46</v>
      </c>
      <c r="L53" s="54">
        <f>+H54</f>
      </c>
      <c r="M53" s="54">
        <f>+M52+L53</f>
      </c>
      <c r="N53" s="67">
        <f>IF(M53&gt;0,M53/L53*12)</f>
      </c>
      <c r="O53" s="1"/>
      <c r="P53" s="1"/>
    </row>
    <row x14ac:dyDescent="0.25" r="54" customHeight="1" ht="18.75">
      <c r="A54" s="55" t="s">
        <v>47</v>
      </c>
      <c r="B54" s="49"/>
      <c r="C54" s="56">
        <f>+C49/C52</f>
      </c>
      <c r="D54" s="56">
        <f>+D49/D52</f>
      </c>
      <c r="E54" s="56">
        <f>+E49/E52</f>
      </c>
      <c r="F54" s="56">
        <f>+F49/F52</f>
      </c>
      <c r="G54" s="56">
        <f>+G49/G52</f>
      </c>
      <c r="H54" s="56">
        <f>+H49/H52</f>
      </c>
      <c r="I54" s="56">
        <f>+I49/I52</f>
      </c>
      <c r="J54" s="1"/>
      <c r="K54" s="106"/>
      <c r="L54" s="81"/>
      <c r="M54" s="81"/>
      <c r="N54" s="81"/>
      <c r="O54" s="1"/>
      <c r="P54" s="1"/>
    </row>
    <row x14ac:dyDescent="0.25" r="55" customHeight="1" ht="18.75">
      <c r="A55" s="60"/>
      <c r="B55" s="61"/>
      <c r="C55" s="62"/>
      <c r="D55" s="62"/>
      <c r="E55" s="62"/>
      <c r="F55" s="62"/>
      <c r="G55" s="62"/>
      <c r="H55" s="62"/>
      <c r="I55" s="62"/>
      <c r="J55" s="1"/>
      <c r="K55" s="106"/>
      <c r="L55" s="81"/>
      <c r="M55" s="81"/>
      <c r="N55" s="81"/>
      <c r="O55" s="1"/>
      <c r="P55" s="1"/>
    </row>
    <row x14ac:dyDescent="0.25" r="56" customHeight="1" ht="18.75">
      <c r="A56" s="55" t="s">
        <v>48</v>
      </c>
      <c r="B56" s="49"/>
      <c r="C56" s="56">
        <f>+C54</f>
      </c>
      <c r="D56" s="56">
        <f>+SUM($C$54:D54)</f>
      </c>
      <c r="E56" s="56">
        <f>+SUM($C$54:E54)</f>
      </c>
      <c r="F56" s="56">
        <f>+SUM($C$54:F54)</f>
      </c>
      <c r="G56" s="56">
        <f>+SUM($C$54:G54)</f>
      </c>
      <c r="H56" s="56">
        <f>+SUM($C$54:H54)</f>
      </c>
      <c r="I56" s="56">
        <f>+SUM($C$54:I54)</f>
      </c>
      <c r="J56" s="1"/>
      <c r="K56" s="106"/>
      <c r="L56" s="81"/>
      <c r="M56" s="81"/>
      <c r="N56" s="81"/>
      <c r="O56" s="1"/>
      <c r="P56" s="1"/>
    </row>
    <row x14ac:dyDescent="0.25" r="57" customHeight="1" ht="18.75">
      <c r="A57" s="12"/>
      <c r="B57" s="38"/>
      <c r="C57" s="76"/>
      <c r="D57" s="44"/>
      <c r="E57" s="44"/>
      <c r="F57" s="44"/>
      <c r="G57" s="52"/>
      <c r="H57" s="52"/>
      <c r="I57" s="52"/>
      <c r="J57" s="1"/>
      <c r="K57" s="79" t="s">
        <v>50</v>
      </c>
      <c r="L57" s="80"/>
      <c r="M57" s="81"/>
      <c r="N57" s="81"/>
      <c r="O57" s="1"/>
      <c r="P57" s="1"/>
    </row>
    <row x14ac:dyDescent="0.25" r="58" customHeight="1" ht="18.75">
      <c r="A58" s="55" t="s">
        <v>51</v>
      </c>
      <c r="B58" s="49"/>
      <c r="C58" s="56">
        <f>I56</f>
      </c>
      <c r="D58" s="52"/>
      <c r="E58" s="127" t="s">
        <v>67</v>
      </c>
      <c r="F58" s="52"/>
      <c r="G58" s="76"/>
      <c r="H58" s="76"/>
      <c r="I58" s="76"/>
      <c r="J58" s="1"/>
      <c r="K58" s="128" t="s">
        <v>68</v>
      </c>
      <c r="L58" s="84"/>
      <c r="M58" s="84"/>
      <c r="N58" s="85">
        <f>+($H$49*(1+Pressupostos!$B$38))/($I$51-Pressupostos!$B$38)</f>
      </c>
      <c r="O58" s="1"/>
      <c r="P58" s="1"/>
    </row>
    <row x14ac:dyDescent="0.25" r="59" customHeight="1" ht="18.75">
      <c r="A59" s="12"/>
      <c r="B59" s="86"/>
      <c r="C59" s="52"/>
      <c r="D59" s="52"/>
      <c r="E59" s="52"/>
      <c r="F59" s="52"/>
      <c r="G59" s="52"/>
      <c r="H59" s="52"/>
      <c r="I59" s="52"/>
      <c r="J59" s="1"/>
      <c r="K59" s="87" t="s">
        <v>53</v>
      </c>
      <c r="L59" s="81"/>
      <c r="M59" s="81"/>
      <c r="N59" s="88"/>
      <c r="O59" s="1"/>
      <c r="P59" s="1"/>
    </row>
    <row x14ac:dyDescent="0.25" r="60" customHeight="1" ht="18.75">
      <c r="A60" s="55" t="s">
        <v>54</v>
      </c>
      <c r="B60" s="49"/>
      <c r="C60" s="97">
        <f>IRR(C49:I49,0.1)</f>
      </c>
      <c r="D60" s="89"/>
      <c r="E60" s="89"/>
      <c r="F60" s="89"/>
      <c r="G60" s="89"/>
      <c r="H60" s="52"/>
      <c r="I60" s="52"/>
      <c r="J60" s="1"/>
      <c r="K60" s="129" t="s">
        <v>69</v>
      </c>
      <c r="L60" s="118"/>
      <c r="M60" s="118"/>
      <c r="N60" s="92">
        <f>+Balanço!H33/(H52*(1+I51))</f>
      </c>
      <c r="O60" s="1"/>
      <c r="P60" s="1"/>
    </row>
    <row x14ac:dyDescent="0.25" r="61" customHeight="1" ht="18.75">
      <c r="A61" s="12"/>
      <c r="B61" s="38"/>
      <c r="C61" s="89"/>
      <c r="D61" s="89"/>
      <c r="E61" s="89"/>
      <c r="F61" s="89"/>
      <c r="G61" s="89"/>
      <c r="H61" s="52"/>
      <c r="I61" s="52"/>
      <c r="J61" s="130"/>
      <c r="K61" s="119"/>
      <c r="L61" s="118"/>
      <c r="M61" s="118"/>
      <c r="N61" s="95"/>
      <c r="O61" s="1"/>
      <c r="P61" s="1"/>
    </row>
    <row x14ac:dyDescent="0.25" r="62" customHeight="1" ht="18.75">
      <c r="A62" s="55" t="s">
        <v>56</v>
      </c>
      <c r="B62" s="56" t="s">
        <v>57</v>
      </c>
      <c r="C62" s="96">
        <f>COUNTIF(N48:N53,"falso")</f>
      </c>
      <c r="D62" s="97" t="s">
        <v>58</v>
      </c>
      <c r="E62" s="98"/>
      <c r="F62" s="89"/>
      <c r="G62" s="89"/>
      <c r="H62" s="52"/>
      <c r="I62" s="52"/>
      <c r="J62" s="130"/>
      <c r="K62" s="1"/>
      <c r="L62" s="43"/>
      <c r="M62" s="43"/>
      <c r="N62" s="43"/>
      <c r="O62" s="1"/>
      <c r="P62" s="1"/>
    </row>
    <row x14ac:dyDescent="0.25" r="63" customHeight="1" ht="10.15">
      <c r="A63" s="12"/>
      <c r="B63" s="38"/>
      <c r="C63" s="44"/>
      <c r="D63" s="62"/>
      <c r="E63" s="101" t="s">
        <v>60</v>
      </c>
      <c r="F63" s="44"/>
      <c r="G63" s="44"/>
      <c r="H63" s="44"/>
      <c r="I63" s="44"/>
      <c r="J63" s="99" t="s">
        <v>59</v>
      </c>
      <c r="K63" s="99"/>
      <c r="L63" s="100"/>
      <c r="M63" s="100"/>
      <c r="N63" s="100"/>
      <c r="O63" s="99"/>
      <c r="P63" s="1"/>
    </row>
    <row x14ac:dyDescent="0.25" r="64" customHeight="1" ht="10.15">
      <c r="A64" s="12"/>
      <c r="B64" s="38"/>
      <c r="C64" s="44"/>
      <c r="D64" s="62"/>
      <c r="E64" s="101"/>
      <c r="F64" s="44"/>
      <c r="G64" s="44"/>
      <c r="H64" s="44"/>
      <c r="I64" s="44"/>
      <c r="J64" s="99"/>
      <c r="K64" s="99"/>
      <c r="L64" s="100"/>
      <c r="M64" s="100"/>
      <c r="N64" s="100"/>
      <c r="O64" s="99"/>
      <c r="P64" s="1"/>
    </row>
    <row x14ac:dyDescent="0.25" r="65" customHeight="1" ht="10.15">
      <c r="A65" s="12"/>
      <c r="B65" s="38"/>
      <c r="C65" s="44"/>
      <c r="D65" s="62"/>
      <c r="E65" s="101"/>
      <c r="F65" s="44"/>
      <c r="G65" s="44"/>
      <c r="H65" s="44"/>
      <c r="I65" s="44"/>
      <c r="J65" s="99"/>
      <c r="K65" s="99"/>
      <c r="L65" s="100"/>
      <c r="M65" s="100"/>
      <c r="N65" s="100"/>
      <c r="O65" s="99"/>
      <c r="P65" s="1"/>
    </row>
    <row x14ac:dyDescent="0.25" r="66" customHeight="1" ht="18.75">
      <c r="A66" s="131" t="s">
        <v>70</v>
      </c>
      <c r="B66" s="132"/>
      <c r="C66" s="133"/>
      <c r="D66" s="134"/>
      <c r="E66" s="135"/>
      <c r="F66" s="133"/>
      <c r="G66" s="133"/>
      <c r="H66" s="133"/>
      <c r="I66" s="133"/>
      <c r="J66" s="1"/>
      <c r="K66" s="1"/>
      <c r="L66" s="43"/>
      <c r="M66" s="43"/>
      <c r="N66" s="43"/>
      <c r="O66" s="1"/>
      <c r="P66" s="1"/>
    </row>
    <row x14ac:dyDescent="0.25" r="67" customHeight="1" ht="18.75">
      <c r="A67" s="136" t="s">
        <v>71</v>
      </c>
      <c r="B67" s="38"/>
      <c r="C67" s="44"/>
      <c r="D67" s="62"/>
      <c r="E67" s="101"/>
      <c r="F67" s="44"/>
      <c r="G67" s="44"/>
      <c r="H67" s="44"/>
      <c r="I67" s="44"/>
      <c r="J67" s="130"/>
      <c r="K67" s="106"/>
      <c r="L67" s="81"/>
      <c r="M67" s="81"/>
      <c r="N67" s="130"/>
      <c r="O67" s="1"/>
      <c r="P67" s="1"/>
    </row>
    <row x14ac:dyDescent="0.25" r="68" customHeight="1" ht="18.75">
      <c r="A68" s="123" t="s">
        <v>72</v>
      </c>
      <c r="B68" s="110"/>
      <c r="C68" s="137">
        <f>+Pressupostos!B35</f>
      </c>
      <c r="D68" s="138">
        <f>+C68*(1+VN!D$9)</f>
      </c>
      <c r="E68" s="138">
        <f>+D68*(1+VN!E$9)</f>
      </c>
      <c r="F68" s="138">
        <f>+E68*(1+VN!F$9)</f>
      </c>
      <c r="G68" s="138">
        <f>+F68*(1+VN!G$9)</f>
      </c>
      <c r="H68" s="138">
        <f>+G68*(1+VN!H$9)</f>
      </c>
      <c r="I68" s="139">
        <f>+H68</f>
      </c>
      <c r="J68" s="130"/>
      <c r="K68" s="106"/>
      <c r="L68" s="81"/>
      <c r="M68" s="81"/>
      <c r="N68" s="130"/>
      <c r="O68" s="1"/>
      <c r="P68" s="1"/>
    </row>
    <row x14ac:dyDescent="0.25" r="69" customHeight="1" ht="18.75">
      <c r="A69" s="123" t="s">
        <v>73</v>
      </c>
      <c r="B69" s="110"/>
      <c r="C69" s="137">
        <f>+Pressupostos!B36</f>
      </c>
      <c r="D69" s="137">
        <f>+C69</f>
      </c>
      <c r="E69" s="137">
        <f>+D69</f>
      </c>
      <c r="F69" s="137">
        <f>+E69</f>
      </c>
      <c r="G69" s="137">
        <f>+F69</f>
      </c>
      <c r="H69" s="137">
        <f>+G69</f>
      </c>
      <c r="I69" s="139">
        <f>+H69</f>
      </c>
      <c r="J69" s="130"/>
      <c r="K69" s="106"/>
      <c r="L69" s="81"/>
      <c r="M69" s="81"/>
      <c r="N69" s="130"/>
      <c r="O69" s="1"/>
      <c r="P69" s="1"/>
    </row>
    <row x14ac:dyDescent="0.25" r="70" customHeight="1" ht="18.75">
      <c r="A70" s="140" t="s">
        <v>74</v>
      </c>
      <c r="B70" s="141"/>
      <c r="C70" s="142">
        <f>+C68+Pressupostos!$B$37*(Avaliação!C69)</f>
      </c>
      <c r="D70" s="142">
        <f>+D68+Pressupostos!$B$37*(Avaliação!D69)</f>
      </c>
      <c r="E70" s="142">
        <f>+E68+Pressupostos!$B$37*(Avaliação!E69)</f>
      </c>
      <c r="F70" s="142">
        <f>+F68+Pressupostos!$B$37*(Avaliação!F69)</f>
      </c>
      <c r="G70" s="142">
        <f>+G68+Pressupostos!$B$37*(Avaliação!G69)</f>
      </c>
      <c r="H70" s="142">
        <f>+H68+Pressupostos!$B$37*(Avaliação!H69)</f>
      </c>
      <c r="I70" s="139">
        <f>+H70</f>
      </c>
      <c r="J70" s="1"/>
      <c r="K70" s="1"/>
      <c r="L70" s="43"/>
      <c r="M70" s="43"/>
      <c r="N70" s="43"/>
      <c r="O70" s="1"/>
      <c r="P70" s="1"/>
    </row>
    <row x14ac:dyDescent="0.25" r="71" customHeight="1" ht="18.75">
      <c r="A71" s="123" t="s">
        <v>44</v>
      </c>
      <c r="B71" s="110"/>
      <c r="C71" s="143">
        <v>1</v>
      </c>
      <c r="D71" s="144">
        <f>+C71*(1+D70)</f>
      </c>
      <c r="E71" s="144">
        <f>+D71*(1+E70)</f>
      </c>
      <c r="F71" s="144">
        <f>+E71*(1+F70)</f>
      </c>
      <c r="G71" s="144">
        <f>+F71*(1+G70)</f>
      </c>
      <c r="H71" s="144">
        <f>+G71*(1+H70)</f>
      </c>
      <c r="I71" s="145" t="s">
        <v>75</v>
      </c>
      <c r="J71" s="1"/>
      <c r="K71" s="1"/>
      <c r="L71" s="43"/>
      <c r="M71" s="43"/>
      <c r="N71" s="43"/>
      <c r="O71" s="1"/>
      <c r="P71" s="1"/>
    </row>
    <row x14ac:dyDescent="0.25" r="72" customHeight="1" ht="18.75">
      <c r="A72" s="146" t="s">
        <v>76</v>
      </c>
      <c r="B72" s="38"/>
      <c r="C72" s="44"/>
      <c r="D72" s="44"/>
      <c r="E72" s="44"/>
      <c r="F72" s="44"/>
      <c r="G72" s="44"/>
      <c r="H72" s="44"/>
      <c r="I72" s="44"/>
      <c r="J72" s="1"/>
      <c r="K72" s="1"/>
      <c r="L72" s="43"/>
      <c r="M72" s="43"/>
      <c r="N72" s="43"/>
      <c r="O72" s="1"/>
      <c r="P72" s="1"/>
    </row>
    <row x14ac:dyDescent="0.25" r="73" customHeight="1" ht="18.75">
      <c r="A73" s="55" t="s">
        <v>77</v>
      </c>
      <c r="B73" s="49"/>
      <c r="C73" s="147">
        <f>+Pressupostos!$B$33</f>
      </c>
      <c r="D73" s="147">
        <f>+Pressupostos!$B$33</f>
      </c>
      <c r="E73" s="147">
        <f>+Pressupostos!$B$33</f>
      </c>
      <c r="F73" s="147">
        <f>+Pressupostos!$B$33</f>
      </c>
      <c r="G73" s="147">
        <f>+Pressupostos!$B$33</f>
      </c>
      <c r="H73" s="147">
        <f>+Pressupostos!$B$33</f>
      </c>
      <c r="I73" s="44"/>
      <c r="J73" s="130"/>
      <c r="K73" s="1"/>
      <c r="L73" s="43"/>
      <c r="M73" s="43"/>
      <c r="N73" s="43"/>
      <c r="O73" s="1"/>
      <c r="P73" s="1"/>
    </row>
    <row x14ac:dyDescent="0.25" r="74" customHeight="1" ht="18.75">
      <c r="A74" s="55" t="s">
        <v>78</v>
      </c>
      <c r="B74" s="49"/>
      <c r="C74" s="147">
        <f>C73*(1-Pressupostos!$B$29)</f>
      </c>
      <c r="D74" s="147">
        <f>D73*(1-Pressupostos!$B$29)</f>
      </c>
      <c r="E74" s="147">
        <f>E73*(1-Pressupostos!$B$29)</f>
      </c>
      <c r="F74" s="147">
        <f>F73*(1-Pressupostos!$B$29)</f>
      </c>
      <c r="G74" s="147">
        <f>G73*(1-Pressupostos!$B$29)</f>
      </c>
      <c r="H74" s="147">
        <f>H73*(1-Pressupostos!$B$29)</f>
      </c>
      <c r="I74" s="44"/>
      <c r="J74" s="130"/>
      <c r="K74" s="1"/>
      <c r="L74" s="43"/>
      <c r="M74" s="43"/>
      <c r="N74" s="43"/>
      <c r="O74" s="1"/>
      <c r="P74" s="1"/>
    </row>
    <row x14ac:dyDescent="0.25" r="75" customHeight="1" ht="18.75">
      <c r="A75" s="12"/>
      <c r="B75" s="38"/>
      <c r="C75" s="44"/>
      <c r="D75" s="44"/>
      <c r="E75" s="44"/>
      <c r="F75" s="44"/>
      <c r="G75" s="44"/>
      <c r="H75" s="44"/>
      <c r="I75" s="44"/>
      <c r="J75" s="1"/>
      <c r="K75" s="1"/>
      <c r="L75" s="43"/>
      <c r="M75" s="43"/>
      <c r="N75" s="43"/>
      <c r="O75" s="1"/>
      <c r="P75" s="1"/>
    </row>
    <row x14ac:dyDescent="0.25" r="76" customHeight="1" ht="18.75">
      <c r="A76" s="136" t="s">
        <v>79</v>
      </c>
      <c r="B76" s="148"/>
      <c r="C76" s="44"/>
      <c r="D76" s="44"/>
      <c r="E76" s="44"/>
      <c r="F76" s="44"/>
      <c r="G76" s="44"/>
      <c r="H76" s="44"/>
      <c r="I76" s="44"/>
      <c r="J76" s="1"/>
      <c r="K76" s="106"/>
      <c r="L76" s="81"/>
      <c r="M76" s="81"/>
      <c r="N76" s="81"/>
      <c r="O76" s="1"/>
      <c r="P76" s="1"/>
    </row>
    <row x14ac:dyDescent="0.25" r="77" customHeight="1" ht="18.75">
      <c r="A77" s="149" t="s">
        <v>80</v>
      </c>
      <c r="B77" s="150" t="s">
        <v>81</v>
      </c>
      <c r="C77" s="150">
        <f>+C27</f>
      </c>
      <c r="D77" s="150">
        <f>+C77+1</f>
      </c>
      <c r="E77" s="150">
        <f>+D77+1</f>
      </c>
      <c r="F77" s="150">
        <f>+E77+1</f>
      </c>
      <c r="G77" s="150">
        <f>+F77+1</f>
      </c>
      <c r="H77" s="150">
        <f>+G77+1</f>
      </c>
      <c r="I77" s="44"/>
      <c r="J77" s="130"/>
      <c r="K77" s="1"/>
      <c r="L77" s="43"/>
      <c r="M77" s="43"/>
      <c r="N77" s="43"/>
      <c r="O77" s="1"/>
      <c r="P77" s="1"/>
    </row>
    <row x14ac:dyDescent="0.25" r="78" customHeight="1" ht="18.75">
      <c r="A78" s="151" t="s">
        <v>82</v>
      </c>
      <c r="B78" s="152">
        <f>+Financiamento!C18</f>
      </c>
      <c r="C78" s="153">
        <f>IF(DR!$B$8&gt;0,Avaliação!B78,+Balanço!C39+Balanço!C46)</f>
      </c>
      <c r="D78" s="154">
        <f>Balanço!D39+Balanço!D46</f>
      </c>
      <c r="E78" s="154">
        <f>Balanço!E39+Balanço!E46</f>
      </c>
      <c r="F78" s="154">
        <f>Balanço!F39+Balanço!F46</f>
      </c>
      <c r="G78" s="154">
        <f>Balanço!G39+Balanço!G46</f>
      </c>
      <c r="H78" s="154">
        <f>Balanço!H39+Balanço!H46</f>
      </c>
      <c r="I78" s="44"/>
      <c r="J78" s="130"/>
      <c r="K78" s="1"/>
      <c r="L78" s="43"/>
      <c r="M78" s="43"/>
      <c r="N78" s="43"/>
      <c r="O78" s="1"/>
      <c r="P78" s="1"/>
    </row>
    <row x14ac:dyDescent="0.25" r="79" customHeight="1" ht="18.75">
      <c r="A79" s="151" t="s">
        <v>83</v>
      </c>
      <c r="B79" s="152">
        <f>+Financiamento!C15+Financiamento!C16</f>
      </c>
      <c r="C79" s="153">
        <f>IF(DR!$B$8&gt;0,Avaliação!B79,+Balanço!C33)</f>
      </c>
      <c r="D79" s="154">
        <f>+Balanço!D33</f>
      </c>
      <c r="E79" s="154">
        <f>+Balanço!E33</f>
      </c>
      <c r="F79" s="154">
        <f>+Balanço!F33</f>
      </c>
      <c r="G79" s="154">
        <f>+Balanço!G33</f>
      </c>
      <c r="H79" s="154">
        <f>+Balanço!H33</f>
      </c>
      <c r="I79" s="44"/>
      <c r="J79" s="130"/>
      <c r="K79" s="1"/>
      <c r="L79" s="81"/>
      <c r="M79" s="81"/>
      <c r="N79" s="81"/>
      <c r="O79" s="106"/>
      <c r="P79" s="106"/>
    </row>
    <row x14ac:dyDescent="0.25" r="80" customHeight="1" ht="18.75">
      <c r="A80" s="155" t="s">
        <v>24</v>
      </c>
      <c r="B80" s="152">
        <f>SUM(B78:B79)</f>
      </c>
      <c r="C80" s="153">
        <f>+C78+C79</f>
      </c>
      <c r="D80" s="154">
        <f>+D78+D79</f>
      </c>
      <c r="E80" s="154">
        <f>+E78+E79</f>
      </c>
      <c r="F80" s="154">
        <f>+F78+F79</f>
      </c>
      <c r="G80" s="154">
        <f>+G78+G79</f>
      </c>
      <c r="H80" s="154">
        <f>+H78+H79</f>
      </c>
      <c r="I80" s="44"/>
      <c r="J80" s="130"/>
      <c r="K80" s="1"/>
      <c r="L80" s="43"/>
      <c r="M80" s="43"/>
      <c r="N80" s="43"/>
      <c r="O80" s="1"/>
      <c r="P80" s="1"/>
    </row>
    <row x14ac:dyDescent="0.25" r="81" customHeight="1" ht="18.75">
      <c r="A81" s="151" t="s">
        <v>84</v>
      </c>
      <c r="B81" s="152"/>
      <c r="C81" s="156">
        <f>+C78/C$80</f>
      </c>
      <c r="D81" s="156">
        <f>+D78/D80</f>
      </c>
      <c r="E81" s="156">
        <f>+E78/E80</f>
      </c>
      <c r="F81" s="157">
        <f>+F78/F80</f>
      </c>
      <c r="G81" s="157">
        <f>+G78/G80</f>
      </c>
      <c r="H81" s="157">
        <f>+H78/H80</f>
      </c>
      <c r="I81" s="44"/>
      <c r="J81" s="130"/>
      <c r="K81" s="1"/>
      <c r="L81" s="43"/>
      <c r="M81" s="43"/>
      <c r="N81" s="43"/>
      <c r="O81" s="1"/>
      <c r="P81" s="1"/>
    </row>
    <row x14ac:dyDescent="0.25" r="82" customHeight="1" ht="18.75">
      <c r="A82" s="151" t="s">
        <v>85</v>
      </c>
      <c r="B82" s="152"/>
      <c r="C82" s="156">
        <f>+C79/C$80</f>
      </c>
      <c r="D82" s="156">
        <f>+D79/D80</f>
      </c>
      <c r="E82" s="156">
        <f>+E79/E80</f>
      </c>
      <c r="F82" s="157">
        <f>+F79/F80</f>
      </c>
      <c r="G82" s="157">
        <f>+G79/G80</f>
      </c>
      <c r="H82" s="157">
        <f>+H79/H80</f>
      </c>
      <c r="I82" s="44"/>
      <c r="J82" s="130"/>
      <c r="K82" s="1"/>
      <c r="L82" s="43"/>
      <c r="M82" s="43"/>
      <c r="N82" s="43"/>
      <c r="O82" s="1"/>
      <c r="P82" s="1"/>
    </row>
    <row x14ac:dyDescent="0.25" r="83" customHeight="1" ht="18.75">
      <c r="A83" s="158"/>
      <c r="B83" s="159" t="s">
        <v>86</v>
      </c>
      <c r="C83" s="44"/>
      <c r="D83" s="44"/>
      <c r="E83" s="44"/>
      <c r="F83" s="44"/>
      <c r="G83" s="44"/>
      <c r="H83" s="44"/>
      <c r="I83" s="44"/>
      <c r="J83" s="130"/>
      <c r="K83" s="1"/>
      <c r="L83" s="43"/>
      <c r="M83" s="43"/>
      <c r="N83" s="43"/>
      <c r="O83" s="1"/>
      <c r="P83" s="1"/>
    </row>
    <row x14ac:dyDescent="0.25" r="84" customHeight="1" ht="18.75">
      <c r="A84" s="158"/>
      <c r="B84" s="158"/>
      <c r="C84" s="44"/>
      <c r="D84" s="44"/>
      <c r="E84" s="44"/>
      <c r="F84" s="44"/>
      <c r="G84" s="44"/>
      <c r="H84" s="44"/>
      <c r="I84" s="44"/>
      <c r="J84" s="130"/>
      <c r="K84" s="1"/>
      <c r="L84" s="43"/>
      <c r="M84" s="43"/>
      <c r="N84" s="43"/>
      <c r="O84" s="1"/>
      <c r="P84" s="1"/>
    </row>
    <row x14ac:dyDescent="0.25" r="85" customHeight="1" ht="18.75">
      <c r="A85" s="136" t="s">
        <v>87</v>
      </c>
      <c r="B85" s="160"/>
      <c r="C85" s="161"/>
      <c r="D85" s="162"/>
      <c r="E85" s="163"/>
      <c r="F85" s="163"/>
      <c r="G85" s="163"/>
      <c r="H85" s="163"/>
      <c r="I85" s="163"/>
      <c r="J85" s="130"/>
      <c r="K85" s="1"/>
      <c r="L85" s="43"/>
      <c r="M85" s="43"/>
      <c r="N85" s="43"/>
      <c r="O85" s="1"/>
      <c r="P85" s="1"/>
    </row>
    <row x14ac:dyDescent="0.25" r="86" customHeight="1" ht="18.75">
      <c r="A86" s="55" t="s">
        <v>88</v>
      </c>
      <c r="B86" s="110"/>
      <c r="C86" s="137">
        <f>+C70</f>
      </c>
      <c r="D86" s="137">
        <f>+D70</f>
      </c>
      <c r="E86" s="137">
        <f>+E70</f>
      </c>
      <c r="F86" s="137">
        <f>+F70</f>
      </c>
      <c r="G86" s="137">
        <f>+G70</f>
      </c>
      <c r="H86" s="137">
        <f>+H70</f>
      </c>
      <c r="I86" s="164">
        <f>+I70</f>
      </c>
      <c r="J86" s="130"/>
      <c r="K86" s="1"/>
      <c r="L86" s="43"/>
      <c r="M86" s="43"/>
      <c r="N86" s="43"/>
      <c r="O86" s="1"/>
      <c r="P86" s="1"/>
    </row>
    <row x14ac:dyDescent="0.25" r="87" customHeight="1" ht="18.75">
      <c r="A87" s="55" t="s">
        <v>89</v>
      </c>
      <c r="B87" s="110"/>
      <c r="C87" s="137">
        <f>+C74</f>
      </c>
      <c r="D87" s="137">
        <f>+D74</f>
      </c>
      <c r="E87" s="137">
        <f>+E74</f>
      </c>
      <c r="F87" s="137">
        <f>+F74</f>
      </c>
      <c r="G87" s="137">
        <f>+G74</f>
      </c>
      <c r="H87" s="137">
        <f>+H74</f>
      </c>
      <c r="I87" s="164">
        <f>+H87</f>
      </c>
      <c r="J87" s="130"/>
      <c r="K87" s="1"/>
      <c r="L87" s="43"/>
      <c r="M87" s="43"/>
      <c r="N87" s="43"/>
      <c r="O87" s="1"/>
      <c r="P87" s="1"/>
    </row>
    <row x14ac:dyDescent="0.25" r="88" customHeight="1" ht="18.75">
      <c r="A88" s="140" t="s">
        <v>90</v>
      </c>
      <c r="B88" s="110"/>
      <c r="C88" s="142">
        <f>+C86*C82+C87*C81</f>
      </c>
      <c r="D88" s="142">
        <f>+D86*D82+D87*D81</f>
      </c>
      <c r="E88" s="142">
        <f>+E86*E82+E87*E81</f>
      </c>
      <c r="F88" s="142">
        <f>+F86*F82+F87*F81</f>
      </c>
      <c r="G88" s="142">
        <f>+G86*G82+G87*G81</f>
      </c>
      <c r="H88" s="142">
        <f>+H86*H82+H87*H81</f>
      </c>
      <c r="I88" s="164">
        <f>+H88</f>
      </c>
      <c r="J88" s="1"/>
      <c r="K88" s="1"/>
      <c r="L88" s="43"/>
      <c r="M88" s="43"/>
      <c r="N88" s="43"/>
      <c r="O88" s="1"/>
      <c r="P88" s="1"/>
    </row>
    <row x14ac:dyDescent="0.25" r="89" customHeight="1" ht="18.75">
      <c r="A89" s="165"/>
      <c r="B89" s="160"/>
      <c r="C89" s="161"/>
      <c r="D89" s="162"/>
      <c r="E89" s="163"/>
      <c r="F89" s="163"/>
      <c r="G89" s="163"/>
      <c r="H89" s="163"/>
      <c r="I89" s="163"/>
      <c r="J89" s="130"/>
      <c r="K89" s="1"/>
      <c r="L89" s="43"/>
      <c r="M89" s="43"/>
      <c r="N89" s="43"/>
      <c r="O89" s="1"/>
      <c r="P89" s="1"/>
    </row>
    <row x14ac:dyDescent="0.25" r="90" customHeight="1" ht="18.75">
      <c r="A90" s="166" t="s">
        <v>91</v>
      </c>
      <c r="B90" s="167"/>
      <c r="C90" s="168"/>
      <c r="D90" s="169"/>
      <c r="E90" s="170"/>
      <c r="F90" s="170"/>
      <c r="G90" s="170"/>
      <c r="H90" s="170"/>
      <c r="I90" s="171" t="s">
        <v>92</v>
      </c>
      <c r="J90" s="130"/>
      <c r="K90" s="1"/>
      <c r="L90" s="43"/>
      <c r="M90" s="43"/>
      <c r="N90" s="43"/>
      <c r="O90" s="1"/>
      <c r="P90" s="1"/>
    </row>
    <row x14ac:dyDescent="0.25" r="91" customHeight="1" ht="18.75">
      <c r="A91" s="172" t="s">
        <v>93</v>
      </c>
      <c r="B91" s="173"/>
      <c r="C91" s="174">
        <f>+Pressupostos!$B37*(1+(1-Pressupostos!$B29)*(Avaliação!C78/Avaliação!C79))</f>
      </c>
      <c r="D91" s="175">
        <f>+Pressupostos!$B37*(1+(1-Pressupostos!$B29)*(Avaliação!D78/Avaliação!D79))</f>
      </c>
      <c r="E91" s="175">
        <f>+Pressupostos!$B37*(1+(1-Pressupostos!$B29)*(Avaliação!E78/Avaliação!E79))</f>
      </c>
      <c r="F91" s="176">
        <f>+Pressupostos!$B37*(1+(1-Pressupostos!$B29)*(Avaliação!F78/Avaliação!F79))</f>
      </c>
      <c r="G91" s="176">
        <f>+Pressupostos!$B37*(1+(1-Pressupostos!$B29)*(Avaliação!G78/Avaliação!G79))</f>
      </c>
      <c r="H91" s="176">
        <f>+Pressupostos!$B37*(1+(1-Pressupostos!$B29)*(Avaliação!H78/Avaliação!H79))</f>
      </c>
      <c r="I91" s="177"/>
      <c r="J91" s="130"/>
      <c r="K91" s="1"/>
      <c r="L91" s="43"/>
      <c r="M91" s="43"/>
      <c r="N91" s="43"/>
      <c r="O91" s="1"/>
      <c r="P91" s="1"/>
    </row>
    <row x14ac:dyDescent="0.25" r="92" customHeight="1" ht="18.75">
      <c r="A92" s="178"/>
      <c r="B92" s="179"/>
      <c r="C92" s="180" t="s">
        <v>94</v>
      </c>
      <c r="D92" s="181"/>
      <c r="E92" s="44"/>
      <c r="F92" s="44"/>
      <c r="G92" s="44"/>
      <c r="H92" s="44"/>
      <c r="I92" s="177"/>
      <c r="J92" s="130"/>
      <c r="K92" s="1"/>
      <c r="L92" s="43"/>
      <c r="M92" s="43"/>
      <c r="N92" s="43"/>
      <c r="O92" s="1"/>
      <c r="P92" s="1"/>
    </row>
    <row x14ac:dyDescent="0.25" r="93" customHeight="1" ht="18.75">
      <c r="A93" s="172" t="s">
        <v>95</v>
      </c>
      <c r="B93" s="182"/>
      <c r="C93" s="183">
        <f>(C68+(C91*C69))</f>
      </c>
      <c r="D93" s="183">
        <f>(D68+(D91*D69))</f>
      </c>
      <c r="E93" s="183">
        <f>(E68+(E91*E69))</f>
      </c>
      <c r="F93" s="184">
        <f>(F68+(F91*F69))</f>
      </c>
      <c r="G93" s="184">
        <f>(G68+(G91*G69))</f>
      </c>
      <c r="H93" s="184">
        <f>(H68+(H91*H69))</f>
      </c>
      <c r="I93" s="177"/>
      <c r="J93" s="130"/>
      <c r="K93" s="1"/>
      <c r="L93" s="43"/>
      <c r="M93" s="43"/>
      <c r="N93" s="43"/>
      <c r="O93" s="1"/>
      <c r="P93" s="1"/>
    </row>
    <row x14ac:dyDescent="0.25" r="94" customHeight="1" ht="18.75">
      <c r="A94" s="172" t="s">
        <v>96</v>
      </c>
      <c r="B94" s="185"/>
      <c r="C94" s="186">
        <f>(C81*C74)+(C82*C93)</f>
      </c>
      <c r="D94" s="186">
        <f>(D81*D74)+(D82*D93)</f>
      </c>
      <c r="E94" s="186">
        <f>(E81*E74)+(E82*E93)</f>
      </c>
      <c r="F94" s="186">
        <f>(F81*F74)+(F82*F93)</f>
      </c>
      <c r="G94" s="186">
        <f>(G81*G74)+(G82*G93)</f>
      </c>
      <c r="H94" s="186">
        <f>(H81*H74)+(H82*H93)</f>
      </c>
      <c r="I94" s="177"/>
      <c r="J94" s="130"/>
      <c r="K94" s="1"/>
      <c r="L94" s="43"/>
      <c r="M94" s="43"/>
      <c r="N94" s="43"/>
      <c r="O94" s="1"/>
      <c r="P94" s="1"/>
    </row>
    <row x14ac:dyDescent="0.25" r="95" customHeight="1" ht="18.75">
      <c r="A95" s="165"/>
      <c r="B95" s="160"/>
      <c r="C95" s="187"/>
      <c r="D95" s="188" t="s">
        <v>97</v>
      </c>
      <c r="E95" s="187"/>
      <c r="F95" s="187"/>
      <c r="G95" s="187"/>
      <c r="H95" s="187"/>
      <c r="I95" s="163"/>
      <c r="J95" s="130"/>
      <c r="K95" s="1"/>
      <c r="L95" s="43"/>
      <c r="M95" s="43"/>
      <c r="N95" s="43"/>
      <c r="O95" s="1"/>
      <c r="P95" s="1"/>
    </row>
    <row x14ac:dyDescent="0.25" r="96" customHeight="1" ht="18.75">
      <c r="A96" s="165"/>
      <c r="B96" s="160"/>
      <c r="C96" s="161"/>
      <c r="D96" s="188"/>
      <c r="E96" s="163"/>
      <c r="F96" s="163"/>
      <c r="G96" s="163"/>
      <c r="H96" s="163"/>
      <c r="I96" s="163"/>
      <c r="J96" s="130"/>
      <c r="K96" s="1"/>
      <c r="L96" s="43"/>
      <c r="M96" s="43"/>
      <c r="N96" s="43"/>
      <c r="O96" s="1"/>
      <c r="P96" s="1"/>
    </row>
    <row x14ac:dyDescent="0.25" r="97" customHeight="1" ht="18.75">
      <c r="A97" s="106"/>
      <c r="B97" s="81"/>
      <c r="C97" s="74"/>
      <c r="D97" s="189"/>
      <c r="E97" s="189"/>
      <c r="F97" s="189"/>
      <c r="G97" s="189"/>
      <c r="H97" s="189"/>
      <c r="I97" s="189"/>
      <c r="J97" s="130"/>
      <c r="K97" s="1"/>
      <c r="L97" s="43"/>
      <c r="M97" s="43"/>
      <c r="N97" s="43"/>
      <c r="O97" s="1"/>
      <c r="P97" s="1"/>
    </row>
    <row x14ac:dyDescent="0.25" r="98" customHeight="1" ht="18.75">
      <c r="A98" s="106"/>
      <c r="B98" s="81"/>
      <c r="C98" s="74"/>
      <c r="D98" s="189"/>
      <c r="E98" s="189"/>
      <c r="F98" s="189"/>
      <c r="G98" s="189"/>
      <c r="H98" s="189"/>
      <c r="I98" s="189"/>
      <c r="J98" s="130"/>
      <c r="K98" s="1"/>
      <c r="L98" s="43"/>
      <c r="M98" s="43"/>
      <c r="N98" s="43"/>
      <c r="O98" s="1"/>
      <c r="P98" s="1"/>
    </row>
    <row x14ac:dyDescent="0.25" r="99" customHeight="1" ht="18.75">
      <c r="A99" s="1"/>
      <c r="B99" s="43"/>
      <c r="C99" s="73"/>
      <c r="D99" s="73"/>
      <c r="E99" s="73"/>
      <c r="F99" s="73"/>
      <c r="G99" s="73"/>
      <c r="H99" s="73"/>
      <c r="I99" s="73"/>
      <c r="J99" s="130"/>
      <c r="K99" s="1"/>
      <c r="L99" s="43"/>
      <c r="M99" s="43"/>
      <c r="N99" s="43"/>
      <c r="O99" s="1"/>
      <c r="P99" s="1"/>
    </row>
    <row x14ac:dyDescent="0.25" r="100" customHeight="1" ht="18.75">
      <c r="A100" s="1"/>
      <c r="B100" s="43"/>
      <c r="C100" s="74"/>
      <c r="D100" s="73"/>
      <c r="E100" s="73"/>
      <c r="F100" s="73"/>
      <c r="G100" s="73"/>
      <c r="H100" s="73"/>
      <c r="I100" s="73"/>
      <c r="J100" s="130"/>
      <c r="K100" s="1"/>
      <c r="L100" s="43"/>
      <c r="M100" s="43"/>
      <c r="N100" s="43"/>
      <c r="O100" s="1"/>
      <c r="P100" s="1"/>
    </row>
    <row x14ac:dyDescent="0.25" r="101" customHeight="1" ht="18.75">
      <c r="A101" s="1"/>
      <c r="B101" s="43"/>
      <c r="C101" s="73"/>
      <c r="D101" s="73"/>
      <c r="E101" s="73"/>
      <c r="F101" s="73"/>
      <c r="G101" s="73"/>
      <c r="H101" s="73"/>
      <c r="I101" s="73"/>
      <c r="J101" s="130"/>
      <c r="K101" s="1"/>
      <c r="L101" s="43"/>
      <c r="M101" s="43"/>
      <c r="N101" s="43"/>
      <c r="O101" s="1"/>
      <c r="P101" s="1"/>
    </row>
    <row x14ac:dyDescent="0.25" r="102" customHeight="1" ht="18.75">
      <c r="A102" s="1"/>
      <c r="B102" s="43"/>
      <c r="C102" s="73"/>
      <c r="D102" s="73"/>
      <c r="E102" s="73"/>
      <c r="F102" s="73"/>
      <c r="G102" s="73"/>
      <c r="H102" s="73"/>
      <c r="I102" s="73"/>
      <c r="J102" s="130"/>
      <c r="K102" s="1"/>
      <c r="L102" s="43"/>
      <c r="M102" s="43"/>
      <c r="N102" s="43"/>
      <c r="O102" s="1"/>
      <c r="P102" s="1"/>
    </row>
    <row x14ac:dyDescent="0.25" r="103" customHeight="1" ht="18.75">
      <c r="A103" s="1"/>
      <c r="B103" s="43"/>
      <c r="C103" s="73"/>
      <c r="D103" s="73"/>
      <c r="E103" s="73"/>
      <c r="F103" s="73"/>
      <c r="G103" s="73"/>
      <c r="H103" s="73"/>
      <c r="I103" s="73"/>
      <c r="J103" s="130"/>
      <c r="K103" s="1"/>
      <c r="L103" s="43"/>
      <c r="M103" s="43"/>
      <c r="N103" s="43"/>
      <c r="O103" s="1"/>
      <c r="P103" s="1"/>
    </row>
  </sheetData>
  <mergeCells count="14">
    <mergeCell ref="A4:I4"/>
    <mergeCell ref="A7:B7"/>
    <mergeCell ref="J8:J10"/>
    <mergeCell ref="K20:M21"/>
    <mergeCell ref="N20:N21"/>
    <mergeCell ref="A27:B27"/>
    <mergeCell ref="J28:J30"/>
    <mergeCell ref="K39:M40"/>
    <mergeCell ref="N39:N40"/>
    <mergeCell ref="A47:B47"/>
    <mergeCell ref="J48:J50"/>
    <mergeCell ref="K60:M61"/>
    <mergeCell ref="N60:N61"/>
    <mergeCell ref="I90:I9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1"/>
  <sheetViews>
    <sheetView workbookViewId="0"/>
  </sheetViews>
  <sheetFormatPr defaultRowHeight="15" x14ac:dyDescent="0.25"/>
  <cols>
    <col min="1" max="1" style="9" width="42.29071428571429" customWidth="1" bestFit="1"/>
    <col min="2" max="2" style="9" width="13.719285714285713" customWidth="1" bestFit="1"/>
    <col min="3" max="3" style="37" width="13.576428571428572" customWidth="1" bestFit="1"/>
    <col min="4" max="4" style="37" width="13.576428571428572" customWidth="1" bestFit="1"/>
    <col min="5" max="5" style="37" width="13.576428571428572" customWidth="1" bestFit="1"/>
    <col min="6" max="6" style="37" width="13.576428571428572" customWidth="1" bestFit="1"/>
    <col min="7" max="7" style="37" width="13.576428571428572" customWidth="1" bestFit="1"/>
    <col min="8" max="8" style="37" width="13.576428571428572" customWidth="1" bestFit="1"/>
  </cols>
  <sheetData>
    <row x14ac:dyDescent="0.25" r="1" customHeight="1" ht="18.75">
      <c r="A1" s="12"/>
      <c r="B1" s="12"/>
      <c r="C1" s="13"/>
      <c r="D1" s="13"/>
      <c r="E1" s="13"/>
      <c r="F1" s="13"/>
      <c r="G1" s="14" t="s">
        <v>12</v>
      </c>
      <c r="H1" s="15">
        <f>+Pressupostos!E1</f>
      </c>
    </row>
    <row x14ac:dyDescent="0.25" r="2" customHeight="1" ht="18.75">
      <c r="A2" s="16"/>
      <c r="B2" s="16"/>
      <c r="C2" s="17"/>
      <c r="D2" s="17"/>
      <c r="E2" s="18"/>
      <c r="F2" s="18"/>
      <c r="G2" s="18"/>
      <c r="H2" s="19"/>
    </row>
    <row x14ac:dyDescent="0.25" r="3" customHeight="1" ht="18.75">
      <c r="A3" s="16"/>
      <c r="B3" s="16"/>
      <c r="C3" s="17"/>
      <c r="D3" s="17"/>
      <c r="E3" s="18"/>
      <c r="F3" s="18"/>
      <c r="G3" s="18"/>
      <c r="H3" s="19"/>
    </row>
    <row x14ac:dyDescent="0.25" r="4" customHeight="1" ht="18.75">
      <c r="A4" s="20" t="s">
        <v>13</v>
      </c>
      <c r="B4" s="20"/>
      <c r="C4" s="21"/>
      <c r="D4" s="21"/>
      <c r="E4" s="21"/>
      <c r="F4" s="21"/>
      <c r="G4" s="21"/>
      <c r="H4" s="21"/>
    </row>
    <row x14ac:dyDescent="0.25" r="5" customHeight="1" ht="18.75">
      <c r="A5" s="12"/>
      <c r="B5" s="12"/>
      <c r="C5" s="22"/>
      <c r="D5" s="22"/>
      <c r="E5" s="22"/>
      <c r="F5" s="22"/>
      <c r="G5" s="22"/>
      <c r="H5" s="22"/>
    </row>
    <row x14ac:dyDescent="0.25" r="6" customHeight="1" ht="18.75">
      <c r="A6" s="23" t="s">
        <v>14</v>
      </c>
      <c r="B6" s="12"/>
      <c r="C6" s="22"/>
      <c r="D6" s="22"/>
      <c r="E6" s="22"/>
      <c r="F6" s="22"/>
      <c r="G6" s="22"/>
      <c r="H6" s="22"/>
    </row>
    <row x14ac:dyDescent="0.25" r="7" customHeight="1" ht="18.75">
      <c r="A7" s="24" t="s">
        <v>15</v>
      </c>
      <c r="B7" s="24" t="s">
        <v>16</v>
      </c>
      <c r="C7" s="25" t="s">
        <v>17</v>
      </c>
      <c r="D7" s="25" t="s">
        <v>18</v>
      </c>
      <c r="E7" s="25" t="s">
        <v>19</v>
      </c>
      <c r="F7" s="25" t="s">
        <v>20</v>
      </c>
      <c r="G7" s="22"/>
      <c r="H7" s="22"/>
    </row>
    <row x14ac:dyDescent="0.25" r="8" customHeight="1" ht="18.75">
      <c r="A8" s="26"/>
      <c r="B8" s="27"/>
      <c r="C8" s="27"/>
      <c r="D8" s="27"/>
      <c r="E8" s="27"/>
      <c r="F8" s="27"/>
      <c r="G8" s="22"/>
      <c r="H8" s="22"/>
    </row>
    <row x14ac:dyDescent="0.25" r="9" customHeight="1" ht="18.75">
      <c r="A9" s="26"/>
      <c r="B9" s="27"/>
      <c r="C9" s="27"/>
      <c r="D9" s="27"/>
      <c r="E9" s="27"/>
      <c r="F9" s="27"/>
      <c r="G9" s="22"/>
      <c r="H9" s="22"/>
    </row>
    <row x14ac:dyDescent="0.25" r="10" customHeight="1" ht="18.75">
      <c r="A10" s="28"/>
      <c r="B10" s="29"/>
      <c r="C10" s="29"/>
      <c r="D10" s="29"/>
      <c r="E10" s="29"/>
      <c r="F10" s="29"/>
      <c r="G10" s="22"/>
      <c r="H10" s="22"/>
    </row>
    <row x14ac:dyDescent="0.25" r="11" customHeight="1" ht="18.75">
      <c r="A11" s="28"/>
      <c r="B11" s="29"/>
      <c r="C11" s="29"/>
      <c r="D11" s="29"/>
      <c r="E11" s="29"/>
      <c r="F11" s="29"/>
      <c r="G11" s="30"/>
      <c r="H11" s="30"/>
    </row>
    <row x14ac:dyDescent="0.25" r="12" customHeight="1" ht="18.75">
      <c r="A12" s="28"/>
      <c r="B12" s="29"/>
      <c r="C12" s="29"/>
      <c r="D12" s="29"/>
      <c r="E12" s="29"/>
      <c r="F12" s="29"/>
      <c r="G12" s="30"/>
      <c r="H12" s="30"/>
    </row>
    <row x14ac:dyDescent="0.25" r="13" customHeight="1" ht="18.75">
      <c r="A13" s="26"/>
      <c r="B13" s="29"/>
      <c r="C13" s="29"/>
      <c r="D13" s="29"/>
      <c r="E13" s="29"/>
      <c r="F13" s="29"/>
      <c r="G13" s="30"/>
      <c r="H13" s="30"/>
    </row>
    <row x14ac:dyDescent="0.25" r="14" customHeight="1" ht="18.75">
      <c r="A14" s="26"/>
      <c r="B14" s="29"/>
      <c r="C14" s="29"/>
      <c r="D14" s="29"/>
      <c r="E14" s="29"/>
      <c r="F14" s="29"/>
      <c r="G14" s="30"/>
      <c r="H14" s="30"/>
    </row>
    <row x14ac:dyDescent="0.25" r="15" customHeight="1" ht="18.75">
      <c r="A15" s="28"/>
      <c r="B15" s="29"/>
      <c r="C15" s="29"/>
      <c r="D15" s="29"/>
      <c r="E15" s="29"/>
      <c r="F15" s="29"/>
      <c r="G15" s="30"/>
      <c r="H15" s="30"/>
    </row>
    <row x14ac:dyDescent="0.25" r="16" customHeight="1" ht="18.75">
      <c r="A16" s="28"/>
      <c r="B16" s="29"/>
      <c r="C16" s="29"/>
      <c r="D16" s="29"/>
      <c r="E16" s="29"/>
      <c r="F16" s="29"/>
      <c r="G16" s="30"/>
      <c r="H16" s="30"/>
    </row>
    <row x14ac:dyDescent="0.25" r="17" customHeight="1" ht="18.75">
      <c r="A17" s="26"/>
      <c r="B17" s="29"/>
      <c r="C17" s="29"/>
      <c r="D17" s="29"/>
      <c r="E17" s="29"/>
      <c r="F17" s="29"/>
      <c r="G17" s="30"/>
      <c r="H17" s="30"/>
    </row>
    <row x14ac:dyDescent="0.25" r="18" customHeight="1" ht="18.75">
      <c r="A18" s="26"/>
      <c r="B18" s="29"/>
      <c r="C18" s="29"/>
      <c r="D18" s="29"/>
      <c r="E18" s="29"/>
      <c r="F18" s="29"/>
      <c r="G18" s="30"/>
      <c r="H18" s="30"/>
    </row>
    <row x14ac:dyDescent="0.25" r="19" customHeight="1" ht="18.75">
      <c r="A19" s="26"/>
      <c r="B19" s="29"/>
      <c r="C19" s="29"/>
      <c r="D19" s="29"/>
      <c r="E19" s="29"/>
      <c r="F19" s="29"/>
      <c r="G19" s="30"/>
      <c r="H19" s="30"/>
    </row>
    <row x14ac:dyDescent="0.25" r="20" customHeight="1" ht="18.75">
      <c r="A20" s="26"/>
      <c r="B20" s="31"/>
      <c r="C20" s="31"/>
      <c r="D20" s="31"/>
      <c r="E20" s="31"/>
      <c r="F20" s="31"/>
      <c r="G20" s="30"/>
      <c r="H20" s="30"/>
    </row>
    <row x14ac:dyDescent="0.25" r="21" customHeight="1" ht="18.75">
      <c r="A21" s="26"/>
      <c r="B21" s="32"/>
      <c r="C21" s="29"/>
      <c r="D21" s="29"/>
      <c r="E21" s="29"/>
      <c r="F21" s="33"/>
      <c r="G21" s="30"/>
      <c r="H21" s="30"/>
    </row>
    <row x14ac:dyDescent="0.25" r="22" customHeight="1" ht="18.75">
      <c r="A22" s="12"/>
      <c r="B22" s="30"/>
      <c r="C22" s="30"/>
      <c r="D22" s="30"/>
      <c r="E22" s="30"/>
      <c r="F22" s="30"/>
      <c r="G22" s="30"/>
      <c r="H22" s="30"/>
    </row>
    <row x14ac:dyDescent="0.25" r="23" customHeight="1" ht="18.75">
      <c r="A23" s="12"/>
      <c r="B23" s="30"/>
      <c r="C23" s="30"/>
      <c r="D23" s="30"/>
      <c r="E23" s="30"/>
      <c r="F23" s="30"/>
      <c r="G23" s="30"/>
      <c r="H23" s="30"/>
    </row>
    <row x14ac:dyDescent="0.25" r="24" customHeight="1" ht="18.75">
      <c r="A24" s="23" t="s">
        <v>21</v>
      </c>
      <c r="B24" s="12"/>
      <c r="C24" s="22"/>
      <c r="D24" s="22"/>
      <c r="E24" s="22"/>
      <c r="F24" s="22"/>
      <c r="G24" s="30"/>
      <c r="H24" s="22" t="s">
        <v>22</v>
      </c>
    </row>
    <row x14ac:dyDescent="0.25" r="25" customHeight="1" ht="18.75">
      <c r="A25" s="24" t="s">
        <v>23</v>
      </c>
      <c r="B25" s="24"/>
      <c r="C25" s="34">
        <f>+Pressupostos!B11</f>
      </c>
      <c r="D25" s="34">
        <f>+C25+1</f>
      </c>
      <c r="E25" s="34">
        <f>+D25+1</f>
      </c>
      <c r="F25" s="34">
        <f>+E25+1</f>
      </c>
      <c r="G25" s="34">
        <f>+F25+1</f>
      </c>
      <c r="H25" s="34">
        <f>+G25+1</f>
      </c>
    </row>
    <row x14ac:dyDescent="0.25" r="26" customHeight="1" ht="18.75">
      <c r="A26" s="26" t="s">
        <v>17</v>
      </c>
      <c r="B26" s="27"/>
      <c r="C26" s="27"/>
      <c r="D26" s="27"/>
      <c r="E26" s="27"/>
      <c r="F26" s="27"/>
      <c r="G26" s="27"/>
      <c r="H26" s="27"/>
    </row>
    <row x14ac:dyDescent="0.25" r="27" customHeight="1" ht="18.75">
      <c r="A27" s="26" t="s">
        <v>18</v>
      </c>
      <c r="B27" s="29"/>
      <c r="C27" s="29"/>
      <c r="D27" s="29"/>
      <c r="E27" s="29"/>
      <c r="F27" s="29"/>
      <c r="G27" s="29"/>
      <c r="H27" s="29"/>
    </row>
    <row x14ac:dyDescent="0.25" r="28" customHeight="1" ht="18.75">
      <c r="A28" s="26" t="s">
        <v>19</v>
      </c>
      <c r="B28" s="29"/>
      <c r="C28" s="29"/>
      <c r="D28" s="29"/>
      <c r="E28" s="29"/>
      <c r="F28" s="29"/>
      <c r="G28" s="29"/>
      <c r="H28" s="29"/>
    </row>
    <row x14ac:dyDescent="0.25" r="29" customHeight="1" ht="18.75">
      <c r="A29" s="26" t="s">
        <v>20</v>
      </c>
      <c r="B29" s="29"/>
      <c r="C29" s="29"/>
      <c r="D29" s="29"/>
      <c r="E29" s="29"/>
      <c r="F29" s="29"/>
      <c r="G29" s="29"/>
      <c r="H29" s="29"/>
    </row>
    <row x14ac:dyDescent="0.25" r="30" customHeight="1" ht="18.75">
      <c r="A30" s="26"/>
      <c r="B30" s="29"/>
      <c r="C30" s="29"/>
      <c r="D30" s="29"/>
      <c r="E30" s="29"/>
      <c r="F30" s="29"/>
      <c r="G30" s="29"/>
      <c r="H30" s="29"/>
    </row>
    <row x14ac:dyDescent="0.25" r="31" customHeight="1" ht="18.75">
      <c r="A31" s="26"/>
      <c r="B31" s="29"/>
      <c r="C31" s="29"/>
      <c r="D31" s="29"/>
      <c r="E31" s="29"/>
      <c r="F31" s="29"/>
      <c r="G31" s="29"/>
      <c r="H31" s="29"/>
    </row>
    <row x14ac:dyDescent="0.25" r="32" customHeight="1" ht="18.75">
      <c r="A32" s="28"/>
      <c r="B32" s="29"/>
      <c r="C32" s="29"/>
      <c r="D32" s="29"/>
      <c r="E32" s="29"/>
      <c r="F32" s="29"/>
      <c r="G32" s="29"/>
      <c r="H32" s="29"/>
    </row>
    <row x14ac:dyDescent="0.25" r="33" customHeight="1" ht="18.75">
      <c r="A33" s="24" t="s">
        <v>24</v>
      </c>
      <c r="B33" s="24"/>
      <c r="C33" s="25">
        <f>+SUM(C26:C32)</f>
      </c>
      <c r="D33" s="25">
        <f>+SUM(D26:D32)</f>
      </c>
      <c r="E33" s="25">
        <f>+SUM(E26:E32)</f>
      </c>
      <c r="F33" s="25">
        <f>+SUM(F26:F32)</f>
      </c>
      <c r="G33" s="25">
        <f>+SUM(G26:G32)</f>
      </c>
      <c r="H33" s="25">
        <f>+SUM(H26:H32)</f>
      </c>
    </row>
    <row x14ac:dyDescent="0.25" r="34" customHeight="1" ht="18.75">
      <c r="A34" s="12"/>
      <c r="B34" s="35"/>
      <c r="C34" s="30"/>
      <c r="D34" s="30"/>
      <c r="E34" s="30"/>
      <c r="F34" s="30"/>
      <c r="G34" s="30"/>
      <c r="H34" s="30"/>
    </row>
    <row x14ac:dyDescent="0.25" r="35" customHeight="1" ht="18.75">
      <c r="A35" s="23" t="s">
        <v>25</v>
      </c>
      <c r="B35" s="12"/>
      <c r="C35" s="22"/>
      <c r="D35" s="22"/>
      <c r="E35" s="22"/>
      <c r="F35" s="22"/>
      <c r="G35" s="30"/>
      <c r="H35" s="22" t="s">
        <v>26</v>
      </c>
    </row>
    <row x14ac:dyDescent="0.25" r="36" customHeight="1" ht="18.75">
      <c r="A36" s="24" t="s">
        <v>27</v>
      </c>
      <c r="B36" s="24"/>
      <c r="C36" s="34">
        <f>+C25</f>
      </c>
      <c r="D36" s="34">
        <f>+D25</f>
      </c>
      <c r="E36" s="34">
        <f>+E25</f>
      </c>
      <c r="F36" s="34">
        <f>+F25</f>
      </c>
      <c r="G36" s="34">
        <f>+G25</f>
      </c>
      <c r="H36" s="34">
        <f>+H25</f>
      </c>
    </row>
    <row x14ac:dyDescent="0.25" r="37" customHeight="1" ht="18.75">
      <c r="A37" s="26"/>
      <c r="B37" s="27"/>
      <c r="C37" s="27"/>
      <c r="D37" s="27"/>
      <c r="E37" s="27"/>
      <c r="F37" s="27"/>
      <c r="G37" s="27"/>
      <c r="H37" s="27"/>
    </row>
    <row x14ac:dyDescent="0.25" r="38" customHeight="1" ht="18.75">
      <c r="A38" s="24"/>
      <c r="B38" s="27"/>
      <c r="C38" s="27"/>
      <c r="D38" s="27"/>
      <c r="E38" s="27"/>
      <c r="F38" s="27"/>
      <c r="G38" s="27"/>
      <c r="H38" s="27"/>
    </row>
    <row x14ac:dyDescent="0.25" r="39" customHeight="1" ht="18.75">
      <c r="A39" s="24"/>
      <c r="B39" s="27"/>
      <c r="C39" s="27"/>
      <c r="D39" s="27"/>
      <c r="E39" s="27"/>
      <c r="F39" s="27"/>
      <c r="G39" s="27"/>
      <c r="H39" s="27"/>
    </row>
    <row x14ac:dyDescent="0.25" r="40" customHeight="1" ht="18.75">
      <c r="A40" s="24"/>
      <c r="B40" s="27"/>
      <c r="C40" s="27"/>
      <c r="D40" s="27"/>
      <c r="E40" s="27"/>
      <c r="F40" s="27"/>
      <c r="G40" s="27"/>
      <c r="H40" s="27"/>
    </row>
    <row x14ac:dyDescent="0.25" r="41" customHeight="1" ht="18.75">
      <c r="A41" s="24"/>
      <c r="B41" s="27"/>
      <c r="C41" s="27"/>
      <c r="D41" s="27"/>
      <c r="E41" s="27"/>
      <c r="F41" s="27"/>
      <c r="G41" s="27"/>
      <c r="H41" s="27"/>
    </row>
    <row x14ac:dyDescent="0.25" r="42" customHeight="1" ht="18.75">
      <c r="A42" s="24"/>
      <c r="B42" s="27"/>
      <c r="C42" s="27"/>
      <c r="D42" s="27"/>
      <c r="E42" s="27"/>
      <c r="F42" s="27"/>
      <c r="G42" s="27"/>
      <c r="H42" s="27"/>
    </row>
    <row x14ac:dyDescent="0.25" r="43" customHeight="1" ht="18.75">
      <c r="A43" s="24"/>
      <c r="B43" s="27"/>
      <c r="C43" s="27"/>
      <c r="D43" s="27"/>
      <c r="E43" s="27"/>
      <c r="F43" s="27"/>
      <c r="G43" s="27"/>
      <c r="H43" s="27"/>
    </row>
    <row x14ac:dyDescent="0.25" r="44" customHeight="1" ht="18.75">
      <c r="A44" s="24"/>
      <c r="B44" s="29"/>
      <c r="C44" s="27"/>
      <c r="D44" s="27"/>
      <c r="E44" s="27"/>
      <c r="F44" s="27"/>
      <c r="G44" s="27"/>
      <c r="H44" s="27"/>
    </row>
    <row x14ac:dyDescent="0.25" r="45" customHeight="1" ht="18.75">
      <c r="A45" s="24"/>
      <c r="B45" s="29"/>
      <c r="C45" s="27"/>
      <c r="D45" s="27"/>
      <c r="E45" s="27"/>
      <c r="F45" s="27"/>
      <c r="G45" s="27"/>
      <c r="H45" s="27"/>
    </row>
    <row x14ac:dyDescent="0.25" r="46" customHeight="1" ht="18.75">
      <c r="A46" s="24"/>
      <c r="B46" s="29"/>
      <c r="C46" s="27"/>
      <c r="D46" s="27"/>
      <c r="E46" s="27"/>
      <c r="F46" s="27"/>
      <c r="G46" s="27"/>
      <c r="H46" s="27"/>
    </row>
    <row x14ac:dyDescent="0.25" r="47" customHeight="1" ht="18.75">
      <c r="A47" s="26"/>
      <c r="B47" s="29"/>
      <c r="C47" s="27"/>
      <c r="D47" s="27"/>
      <c r="E47" s="27"/>
      <c r="F47" s="27"/>
      <c r="G47" s="27"/>
      <c r="H47" s="27"/>
    </row>
    <row x14ac:dyDescent="0.25" r="48" customHeight="1" ht="18.75">
      <c r="A48" s="26"/>
      <c r="B48" s="29"/>
      <c r="C48" s="27"/>
      <c r="D48" s="27"/>
      <c r="E48" s="27"/>
      <c r="F48" s="27"/>
      <c r="G48" s="27"/>
      <c r="H48" s="27"/>
    </row>
    <row x14ac:dyDescent="0.25" r="49" customHeight="1" ht="18.75">
      <c r="A49" s="26"/>
      <c r="B49" s="29"/>
      <c r="C49" s="27"/>
      <c r="D49" s="27"/>
      <c r="E49" s="27"/>
      <c r="F49" s="27"/>
      <c r="G49" s="27"/>
      <c r="H49" s="27"/>
    </row>
    <row x14ac:dyDescent="0.25" r="50" customHeight="1" ht="18.75">
      <c r="A50" s="28"/>
      <c r="B50" s="29"/>
      <c r="C50" s="29"/>
      <c r="D50" s="29"/>
      <c r="E50" s="29"/>
      <c r="F50" s="29"/>
      <c r="G50" s="29"/>
      <c r="H50" s="29"/>
    </row>
    <row x14ac:dyDescent="0.25" r="51" customHeight="1" ht="18.75">
      <c r="A51" s="12"/>
      <c r="B51" s="12"/>
      <c r="C51" s="22"/>
      <c r="D51" s="22"/>
      <c r="E51" s="22"/>
      <c r="F51" s="22"/>
      <c r="G51" s="22"/>
      <c r="H51" s="22"/>
    </row>
    <row x14ac:dyDescent="0.25" r="52" customHeight="1" ht="18.75">
      <c r="A52" s="12"/>
      <c r="B52" s="12"/>
      <c r="C52" s="22"/>
      <c r="D52" s="22"/>
      <c r="E52" s="22"/>
      <c r="F52" s="22"/>
      <c r="G52" s="22"/>
      <c r="H52" s="22"/>
    </row>
    <row x14ac:dyDescent="0.25" r="53" customHeight="1" ht="18.75">
      <c r="A53" s="23" t="s">
        <v>28</v>
      </c>
      <c r="B53" s="12"/>
      <c r="C53" s="22"/>
      <c r="D53" s="22"/>
      <c r="E53" s="22"/>
      <c r="F53" s="22"/>
      <c r="G53" s="30"/>
      <c r="H53" s="30"/>
    </row>
    <row x14ac:dyDescent="0.25" r="54" customHeight="1" ht="18.75">
      <c r="A54" s="24" t="s">
        <v>29</v>
      </c>
      <c r="B54" s="24"/>
      <c r="C54" s="34">
        <f>+C36</f>
      </c>
      <c r="D54" s="34">
        <f>+D36</f>
      </c>
      <c r="E54" s="34">
        <f>+E36</f>
      </c>
      <c r="F54" s="34">
        <f>+F36</f>
      </c>
      <c r="G54" s="34">
        <f>+G36</f>
      </c>
      <c r="H54" s="34">
        <f>+H36</f>
      </c>
    </row>
    <row x14ac:dyDescent="0.25" r="55" customHeight="1" ht="18.75">
      <c r="A55" s="26"/>
      <c r="B55" s="27"/>
      <c r="C55" s="27"/>
      <c r="D55" s="27"/>
      <c r="E55" s="27"/>
      <c r="F55" s="27"/>
      <c r="G55" s="27"/>
      <c r="H55" s="27"/>
    </row>
    <row x14ac:dyDescent="0.25" r="56" customHeight="1" ht="18.75">
      <c r="A56" s="24"/>
      <c r="B56" s="27"/>
      <c r="C56" s="27"/>
      <c r="D56" s="27"/>
      <c r="E56" s="27"/>
      <c r="F56" s="27"/>
      <c r="G56" s="27"/>
      <c r="H56" s="27"/>
    </row>
    <row x14ac:dyDescent="0.25" r="57" customHeight="1" ht="18.75">
      <c r="A57" s="24"/>
      <c r="B57" s="27"/>
      <c r="C57" s="27"/>
      <c r="D57" s="27"/>
      <c r="E57" s="27"/>
      <c r="F57" s="27"/>
      <c r="G57" s="27"/>
      <c r="H57" s="27"/>
    </row>
    <row x14ac:dyDescent="0.25" r="58" customHeight="1" ht="18.75">
      <c r="A58" s="24"/>
      <c r="B58" s="27"/>
      <c r="C58" s="27"/>
      <c r="D58" s="27"/>
      <c r="E58" s="27"/>
      <c r="F58" s="27"/>
      <c r="G58" s="27"/>
      <c r="H58" s="27"/>
    </row>
    <row x14ac:dyDescent="0.25" r="59" customHeight="1" ht="18.75">
      <c r="A59" s="24"/>
      <c r="B59" s="27"/>
      <c r="C59" s="27"/>
      <c r="D59" s="27"/>
      <c r="E59" s="27"/>
      <c r="F59" s="27"/>
      <c r="G59" s="27"/>
      <c r="H59" s="27"/>
    </row>
    <row x14ac:dyDescent="0.25" r="60" customHeight="1" ht="18.75">
      <c r="A60" s="24"/>
      <c r="B60" s="27"/>
      <c r="C60" s="27"/>
      <c r="D60" s="27"/>
      <c r="E60" s="27"/>
      <c r="F60" s="27"/>
      <c r="G60" s="27"/>
      <c r="H60" s="27"/>
    </row>
    <row x14ac:dyDescent="0.25" r="61" customHeight="1" ht="18.75">
      <c r="A61" s="24"/>
      <c r="B61" s="27"/>
      <c r="C61" s="27"/>
      <c r="D61" s="27"/>
      <c r="E61" s="27"/>
      <c r="F61" s="27"/>
      <c r="G61" s="27"/>
      <c r="H61" s="27"/>
    </row>
    <row x14ac:dyDescent="0.25" r="62" customHeight="1" ht="18.75">
      <c r="A62" s="24"/>
      <c r="B62" s="29"/>
      <c r="C62" s="29"/>
      <c r="D62" s="29"/>
      <c r="E62" s="29"/>
      <c r="F62" s="29"/>
      <c r="G62" s="29"/>
      <c r="H62" s="29"/>
    </row>
    <row x14ac:dyDescent="0.25" r="63" customHeight="1" ht="18.75">
      <c r="A63" s="24"/>
      <c r="B63" s="29"/>
      <c r="C63" s="29"/>
      <c r="D63" s="29"/>
      <c r="E63" s="29"/>
      <c r="F63" s="29"/>
      <c r="G63" s="29"/>
      <c r="H63" s="29"/>
    </row>
    <row x14ac:dyDescent="0.25" r="64" customHeight="1" ht="18.75">
      <c r="A64" s="24"/>
      <c r="B64" s="29"/>
      <c r="C64" s="29"/>
      <c r="D64" s="29"/>
      <c r="E64" s="29"/>
      <c r="F64" s="29"/>
      <c r="G64" s="29"/>
      <c r="H64" s="29"/>
    </row>
    <row x14ac:dyDescent="0.25" r="65" customHeight="1" ht="18.75">
      <c r="A65" s="26"/>
      <c r="B65" s="29"/>
      <c r="C65" s="29"/>
      <c r="D65" s="29"/>
      <c r="E65" s="29"/>
      <c r="F65" s="29"/>
      <c r="G65" s="29"/>
      <c r="H65" s="29"/>
    </row>
    <row x14ac:dyDescent="0.25" r="66" customHeight="1" ht="18.75">
      <c r="A66" s="26"/>
      <c r="B66" s="29"/>
      <c r="C66" s="29"/>
      <c r="D66" s="29"/>
      <c r="E66" s="29"/>
      <c r="F66" s="29"/>
      <c r="G66" s="29"/>
      <c r="H66" s="29"/>
    </row>
    <row x14ac:dyDescent="0.25" r="67" customHeight="1" ht="18.75">
      <c r="A67" s="26"/>
      <c r="B67" s="29"/>
      <c r="C67" s="29"/>
      <c r="D67" s="29"/>
      <c r="E67" s="29"/>
      <c r="F67" s="29"/>
      <c r="G67" s="29"/>
      <c r="H67" s="29"/>
    </row>
    <row x14ac:dyDescent="0.25" r="68" customHeight="1" ht="18.75">
      <c r="A68" s="28"/>
      <c r="B68" s="29"/>
      <c r="C68" s="29"/>
      <c r="D68" s="29"/>
      <c r="E68" s="29"/>
      <c r="F68" s="29"/>
      <c r="G68" s="29"/>
      <c r="H68" s="29"/>
    </row>
    <row x14ac:dyDescent="0.25" r="69" customHeight="1" ht="18.75">
      <c r="A69" s="12"/>
      <c r="B69" s="12"/>
      <c r="C69" s="22"/>
      <c r="D69" s="22"/>
      <c r="E69" s="22"/>
      <c r="F69" s="22"/>
      <c r="G69" s="22"/>
      <c r="H69" s="22"/>
    </row>
    <row x14ac:dyDescent="0.25" r="70" customHeight="1" ht="18.75">
      <c r="A70" s="12"/>
      <c r="B70" s="12"/>
      <c r="C70" s="22"/>
      <c r="D70" s="22"/>
      <c r="E70" s="22"/>
      <c r="F70" s="22"/>
      <c r="G70" s="22"/>
      <c r="H70" s="22"/>
    </row>
    <row x14ac:dyDescent="0.25" r="71" customHeight="1" ht="18.75">
      <c r="A71" s="23" t="s">
        <v>30</v>
      </c>
      <c r="B71" s="12"/>
      <c r="C71" s="22"/>
      <c r="D71" s="22"/>
      <c r="E71" s="22"/>
      <c r="F71" s="22"/>
      <c r="G71" s="30"/>
      <c r="H71" s="30"/>
    </row>
    <row x14ac:dyDescent="0.25" r="72" customHeight="1" ht="18.75">
      <c r="A72" s="24" t="s">
        <v>29</v>
      </c>
      <c r="B72" s="24"/>
      <c r="C72" s="34">
        <f>+C25</f>
      </c>
      <c r="D72" s="34">
        <f>+D25</f>
      </c>
      <c r="E72" s="34">
        <f>+E25</f>
      </c>
      <c r="F72" s="34">
        <f>+F25</f>
      </c>
      <c r="G72" s="34">
        <f>+G25</f>
      </c>
      <c r="H72" s="34">
        <f>+H25</f>
      </c>
    </row>
    <row x14ac:dyDescent="0.25" r="73" customHeight="1" ht="18.75">
      <c r="A73" s="26"/>
      <c r="B73" s="27"/>
      <c r="C73" s="27">
        <f>+C37*C55</f>
      </c>
      <c r="D73" s="27">
        <f>+D37*D55</f>
      </c>
      <c r="E73" s="27">
        <f>+E37*E55</f>
      </c>
      <c r="F73" s="27">
        <f>+F37*F55</f>
      </c>
      <c r="G73" s="27">
        <f>+G37*G55</f>
      </c>
      <c r="H73" s="27">
        <f>+H37*H55</f>
      </c>
    </row>
    <row x14ac:dyDescent="0.25" r="74" customHeight="1" ht="18.75">
      <c r="A74" s="24"/>
      <c r="B74" s="27"/>
      <c r="C74" s="27">
        <f>+C38*C56</f>
      </c>
      <c r="D74" s="27">
        <f>+D38*D56</f>
      </c>
      <c r="E74" s="27">
        <f>+E38*E56</f>
      </c>
      <c r="F74" s="27">
        <f>+F38*F56</f>
      </c>
      <c r="G74" s="27">
        <f>+G38*G56</f>
      </c>
      <c r="H74" s="27">
        <f>+H38*H56</f>
      </c>
    </row>
    <row x14ac:dyDescent="0.25" r="75" customHeight="1" ht="18.75">
      <c r="A75" s="24"/>
      <c r="B75" s="27"/>
      <c r="C75" s="27">
        <f>+C39*C57</f>
      </c>
      <c r="D75" s="27">
        <f>+D39*D57</f>
      </c>
      <c r="E75" s="27">
        <f>+E39*E57</f>
      </c>
      <c r="F75" s="27">
        <f>+F39*F57</f>
      </c>
      <c r="G75" s="27">
        <f>+G39*G57</f>
      </c>
      <c r="H75" s="27">
        <f>+H39*H57</f>
      </c>
    </row>
    <row x14ac:dyDescent="0.25" r="76" customHeight="1" ht="18.75">
      <c r="A76" s="24"/>
      <c r="B76" s="27"/>
      <c r="C76" s="27">
        <f>+C40*C58</f>
      </c>
      <c r="D76" s="27">
        <f>+D40*D58</f>
      </c>
      <c r="E76" s="27">
        <f>+E40*E58</f>
      </c>
      <c r="F76" s="27">
        <f>+F40*F58</f>
      </c>
      <c r="G76" s="27">
        <f>+G40*G58</f>
      </c>
      <c r="H76" s="27">
        <f>+H40*H58</f>
      </c>
    </row>
    <row x14ac:dyDescent="0.25" r="77" customHeight="1" ht="18.75">
      <c r="A77" s="24"/>
      <c r="B77" s="27"/>
      <c r="C77" s="27">
        <f>+C41*C59</f>
      </c>
      <c r="D77" s="27">
        <f>+D41*D59</f>
      </c>
      <c r="E77" s="27">
        <f>+E41*E59</f>
      </c>
      <c r="F77" s="27">
        <f>+F41*F59</f>
      </c>
      <c r="G77" s="27">
        <f>+G41*G59</f>
      </c>
      <c r="H77" s="27">
        <f>+H41*H59</f>
      </c>
    </row>
    <row x14ac:dyDescent="0.25" r="78" customHeight="1" ht="18.75">
      <c r="A78" s="24"/>
      <c r="B78" s="27"/>
      <c r="C78" s="27">
        <f>+C42*C60</f>
      </c>
      <c r="D78" s="27">
        <f>+D42*D60</f>
      </c>
      <c r="E78" s="27">
        <f>+E42*E60</f>
      </c>
      <c r="F78" s="27">
        <f>+F42*F60</f>
      </c>
      <c r="G78" s="27">
        <f>+G42*G60</f>
      </c>
      <c r="H78" s="27">
        <f>+H42*H60</f>
      </c>
    </row>
    <row x14ac:dyDescent="0.25" r="79" customHeight="1" ht="18.75">
      <c r="A79" s="24"/>
      <c r="B79" s="27"/>
      <c r="C79" s="27">
        <f>+C43*C61</f>
      </c>
      <c r="D79" s="27">
        <f>+D43*D61</f>
      </c>
      <c r="E79" s="27">
        <f>+E43*E61</f>
      </c>
      <c r="F79" s="27">
        <f>+F43*F61</f>
      </c>
      <c r="G79" s="27">
        <f>+G43*G61</f>
      </c>
      <c r="H79" s="27">
        <f>+H43*H61</f>
      </c>
    </row>
    <row x14ac:dyDescent="0.25" r="80" customHeight="1" ht="18.75">
      <c r="A80" s="24"/>
      <c r="B80" s="29"/>
      <c r="C80" s="27">
        <f>+C44*C62</f>
      </c>
      <c r="D80" s="27">
        <f>+D44*D62</f>
      </c>
      <c r="E80" s="27">
        <f>+E44*E62</f>
      </c>
      <c r="F80" s="27">
        <f>+F44*F62</f>
      </c>
      <c r="G80" s="27">
        <f>+G44*G62</f>
      </c>
      <c r="H80" s="27">
        <f>+H44*H62</f>
      </c>
    </row>
    <row x14ac:dyDescent="0.25" r="81" customHeight="1" ht="18.75">
      <c r="A81" s="24"/>
      <c r="B81" s="29"/>
      <c r="C81" s="27">
        <f>+C45*C63</f>
      </c>
      <c r="D81" s="27">
        <f>+D45*D63</f>
      </c>
      <c r="E81" s="27">
        <f>+E45*E63</f>
      </c>
      <c r="F81" s="27">
        <f>+F45*F63</f>
      </c>
      <c r="G81" s="27">
        <f>+G45*G63</f>
      </c>
      <c r="H81" s="27">
        <f>+H45*H63</f>
      </c>
    </row>
    <row x14ac:dyDescent="0.25" r="82" customHeight="1" ht="18.75">
      <c r="A82" s="24"/>
      <c r="B82" s="29"/>
      <c r="C82" s="27">
        <f>+C46*C64</f>
      </c>
      <c r="D82" s="27">
        <f>+D46*D64</f>
      </c>
      <c r="E82" s="27">
        <f>+E46*E64</f>
      </c>
      <c r="F82" s="27">
        <f>+F46*F64</f>
      </c>
      <c r="G82" s="27">
        <f>+G46*G64</f>
      </c>
      <c r="H82" s="27">
        <f>+H46*H64</f>
      </c>
    </row>
    <row x14ac:dyDescent="0.25" r="83" customHeight="1" ht="18.75">
      <c r="A83" s="26"/>
      <c r="B83" s="29"/>
      <c r="C83" s="27">
        <f>+C47*C65</f>
      </c>
      <c r="D83" s="27">
        <f>+D47*D65</f>
      </c>
      <c r="E83" s="27">
        <f>+E47*E65</f>
      </c>
      <c r="F83" s="27">
        <f>+F47*F65</f>
      </c>
      <c r="G83" s="27">
        <f>+G47*G65</f>
      </c>
      <c r="H83" s="27">
        <f>+H47*H65</f>
      </c>
    </row>
    <row x14ac:dyDescent="0.25" r="84" customHeight="1" ht="18.75">
      <c r="A84" s="26"/>
      <c r="B84" s="29"/>
      <c r="C84" s="27">
        <f>+C48*C66</f>
      </c>
      <c r="D84" s="27">
        <f>+D48*D66</f>
      </c>
      <c r="E84" s="27">
        <f>+E48*E66</f>
      </c>
      <c r="F84" s="27">
        <f>+F48*F66</f>
      </c>
      <c r="G84" s="27">
        <f>+G48*G66</f>
      </c>
      <c r="H84" s="27">
        <f>+H48*H66</f>
      </c>
    </row>
    <row x14ac:dyDescent="0.25" r="85" customHeight="1" ht="18.75">
      <c r="A85" s="26"/>
      <c r="B85" s="29"/>
      <c r="C85" s="27">
        <f>+C49*C67</f>
      </c>
      <c r="D85" s="27">
        <f>+D49*D67</f>
      </c>
      <c r="E85" s="27">
        <f>+E49*E67</f>
      </c>
      <c r="F85" s="27">
        <f>+F49*F67</f>
      </c>
      <c r="G85" s="27">
        <f>+G49*G67</f>
      </c>
      <c r="H85" s="27">
        <f>+H49*H67</f>
      </c>
    </row>
    <row x14ac:dyDescent="0.25" r="86" customHeight="1" ht="18.75">
      <c r="A86" s="28"/>
      <c r="B86" s="29"/>
      <c r="C86" s="27">
        <f>+C50*C68</f>
      </c>
      <c r="D86" s="27">
        <f>+D50*D68</f>
      </c>
      <c r="E86" s="27">
        <f>+E50*E68</f>
      </c>
      <c r="F86" s="27">
        <f>+F50*F68</f>
      </c>
      <c r="G86" s="27">
        <f>+G50*G68</f>
      </c>
      <c r="H86" s="27">
        <f>+H50*H68</f>
      </c>
    </row>
    <row x14ac:dyDescent="0.25" r="87" customHeight="1" ht="18.75">
      <c r="A87" s="24" t="s">
        <v>24</v>
      </c>
      <c r="B87" s="24"/>
      <c r="C87" s="25">
        <f>+SUM(C73:C86)</f>
      </c>
      <c r="D87" s="25">
        <f>+SUM(D73:D86)</f>
      </c>
      <c r="E87" s="25">
        <f>+SUM(E73:E86)</f>
      </c>
      <c r="F87" s="25">
        <f>+SUM(F73:F86)</f>
      </c>
      <c r="G87" s="25">
        <f>+SUM(G73:G86)</f>
      </c>
      <c r="H87" s="25">
        <f>+SUM(H73:H86)</f>
      </c>
    </row>
    <row x14ac:dyDescent="0.25" r="88" customHeight="1" ht="18.75">
      <c r="A88" s="12"/>
      <c r="B88" s="12"/>
      <c r="C88" s="22"/>
      <c r="D88" s="22"/>
      <c r="E88" s="22"/>
      <c r="F88" s="22"/>
      <c r="G88" s="22"/>
      <c r="H88" s="22"/>
    </row>
    <row x14ac:dyDescent="0.25" r="89" customHeight="1" ht="18.75">
      <c r="A89" s="12"/>
      <c r="B89" s="12"/>
      <c r="C89" s="22"/>
      <c r="D89" s="22"/>
      <c r="E89" s="22"/>
      <c r="F89" s="22"/>
      <c r="G89" s="22"/>
      <c r="H89" s="22"/>
    </row>
    <row x14ac:dyDescent="0.25" r="90" customHeight="1" ht="18.75">
      <c r="A90" s="36" t="s">
        <v>31</v>
      </c>
      <c r="B90" s="12"/>
      <c r="C90" s="22"/>
      <c r="D90" s="22"/>
      <c r="E90" s="22"/>
      <c r="F90" s="22"/>
      <c r="G90" s="22"/>
      <c r="H90" s="22"/>
    </row>
    <row x14ac:dyDescent="0.25" r="91" customHeight="1" ht="18.75">
      <c r="A91" s="36" t="s">
        <v>32</v>
      </c>
      <c r="B91" s="12"/>
      <c r="C91" s="22"/>
      <c r="D91" s="22"/>
      <c r="E91" s="22"/>
      <c r="F91" s="22"/>
      <c r="G91" s="22"/>
      <c r="H91" s="22"/>
    </row>
  </sheetData>
  <mergeCells count="6">
    <mergeCell ref="A4:H4"/>
    <mergeCell ref="A33:B33"/>
    <mergeCell ref="A36:B36"/>
    <mergeCell ref="A54:B54"/>
    <mergeCell ref="A72:B72"/>
    <mergeCell ref="A87:B8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9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10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11" width="13.576428571428572" customWidth="1" bestFit="1"/>
    <col min="9" max="9" style="11" width="13.576428571428572" customWidth="1" bestFit="1"/>
  </cols>
  <sheetData>
    <row x14ac:dyDescent="0.25" r="1" customHeight="1" ht="18.75">
      <c r="A1" s="1"/>
      <c r="B1" s="1" t="s">
        <v>0</v>
      </c>
      <c r="C1" s="2"/>
      <c r="D1" s="1"/>
      <c r="E1" s="1"/>
      <c r="F1" s="1"/>
      <c r="G1" s="1"/>
      <c r="H1" s="3"/>
      <c r="I1" s="3"/>
    </row>
    <row x14ac:dyDescent="0.25" r="2" customHeight="1" ht="18.75">
      <c r="A2" s="1"/>
      <c r="B2" s="1" t="s">
        <v>1</v>
      </c>
      <c r="C2" s="2"/>
      <c r="D2" s="1"/>
      <c r="E2" s="1"/>
      <c r="F2" s="1"/>
      <c r="G2" s="1"/>
      <c r="H2" s="3"/>
      <c r="I2" s="3"/>
    </row>
    <row x14ac:dyDescent="0.25" r="3" customHeight="1" ht="18.75">
      <c r="A3" s="1"/>
      <c r="B3" s="1" t="s">
        <v>2</v>
      </c>
      <c r="C3" s="2"/>
      <c r="D3" s="1"/>
      <c r="E3" s="1"/>
      <c r="F3" s="1"/>
      <c r="G3" s="1"/>
      <c r="H3" s="3"/>
      <c r="I3" s="3"/>
    </row>
    <row x14ac:dyDescent="0.25" r="4" customHeight="1" ht="18.75">
      <c r="A4" s="1"/>
      <c r="B4" s="1"/>
      <c r="C4" s="2"/>
      <c r="D4" s="1"/>
      <c r="E4" s="1"/>
      <c r="F4" s="1"/>
      <c r="G4" s="1"/>
      <c r="H4" s="3"/>
      <c r="I4" s="3"/>
    </row>
    <row x14ac:dyDescent="0.25" r="5" customHeight="1" ht="18.75">
      <c r="A5" s="1"/>
      <c r="B5" s="1" t="s">
        <v>3</v>
      </c>
      <c r="C5" s="2"/>
      <c r="D5" s="1"/>
      <c r="E5" s="1"/>
      <c r="F5" s="1"/>
      <c r="G5" s="1"/>
      <c r="H5" s="3"/>
      <c r="I5" s="3"/>
    </row>
    <row x14ac:dyDescent="0.25" r="6" customHeight="1" ht="18.75">
      <c r="A6" s="1"/>
      <c r="B6" s="1"/>
      <c r="C6" s="2"/>
      <c r="D6" s="1"/>
      <c r="E6" s="1"/>
      <c r="F6" s="1"/>
      <c r="G6" s="1"/>
      <c r="H6" s="3"/>
      <c r="I6" s="3"/>
    </row>
    <row x14ac:dyDescent="0.25" r="7" customHeight="1" ht="18.75">
      <c r="A7" s="1"/>
      <c r="B7" s="4"/>
      <c r="C7" s="5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6" t="s">
        <v>9</v>
      </c>
      <c r="I7" s="3"/>
    </row>
    <row x14ac:dyDescent="0.25" r="8" customHeight="1" ht="18.75">
      <c r="A8" s="1"/>
      <c r="B8" s="4" t="s">
        <v>10</v>
      </c>
      <c r="C8" s="5">
        <v>1</v>
      </c>
      <c r="D8" s="4"/>
      <c r="E8" s="4"/>
      <c r="F8" s="4"/>
      <c r="G8" s="4"/>
      <c r="H8" s="7"/>
      <c r="I8" s="3"/>
    </row>
    <row x14ac:dyDescent="0.25" r="9" customHeight="1" ht="18.75">
      <c r="A9" s="1"/>
      <c r="B9" s="4" t="s">
        <v>11</v>
      </c>
      <c r="C9" s="5">
        <v>-0.1</v>
      </c>
      <c r="D9" s="4"/>
      <c r="E9" s="4"/>
      <c r="F9" s="4"/>
      <c r="G9" s="4"/>
      <c r="H9" s="7"/>
      <c r="I9" s="3"/>
    </row>
    <row x14ac:dyDescent="0.25" r="10" customHeight="1" ht="18.75">
      <c r="A10" s="1"/>
      <c r="B10" s="4" t="s">
        <v>11</v>
      </c>
      <c r="C10" s="5"/>
      <c r="D10" s="4"/>
      <c r="E10" s="4"/>
      <c r="F10" s="4"/>
      <c r="G10" s="4"/>
      <c r="H10" s="7"/>
      <c r="I10" s="3"/>
    </row>
    <row x14ac:dyDescent="0.25" r="11" customHeight="1" ht="18.75">
      <c r="A11" s="1"/>
      <c r="B11" s="4" t="s">
        <v>11</v>
      </c>
      <c r="C11" s="5"/>
      <c r="D11" s="4"/>
      <c r="E11" s="4"/>
      <c r="F11" s="4"/>
      <c r="G11" s="4"/>
      <c r="H11" s="7"/>
      <c r="I11" s="3"/>
    </row>
    <row x14ac:dyDescent="0.25" r="12" customHeight="1" ht="18.75">
      <c r="A12" s="1"/>
      <c r="B12" s="4" t="s">
        <v>11</v>
      </c>
      <c r="C12" s="5"/>
      <c r="D12" s="4"/>
      <c r="E12" s="4"/>
      <c r="F12" s="4"/>
      <c r="G12" s="4"/>
      <c r="H12" s="7"/>
      <c r="I12" s="3"/>
    </row>
    <row x14ac:dyDescent="0.25" r="13" customHeight="1" ht="18.75">
      <c r="A13" s="1"/>
      <c r="B13" s="4" t="s">
        <v>11</v>
      </c>
      <c r="C13" s="5"/>
      <c r="D13" s="4"/>
      <c r="E13" s="4"/>
      <c r="F13" s="4"/>
      <c r="G13" s="4"/>
      <c r="H13" s="7"/>
      <c r="I13" s="3"/>
    </row>
    <row x14ac:dyDescent="0.25" r="14" customHeight="1" ht="18.75">
      <c r="A14" s="1"/>
      <c r="B14" s="4" t="s">
        <v>11</v>
      </c>
      <c r="C14" s="5"/>
      <c r="D14" s="4"/>
      <c r="E14" s="4"/>
      <c r="F14" s="4"/>
      <c r="G14" s="4"/>
      <c r="H14" s="7"/>
      <c r="I14" s="3"/>
    </row>
    <row x14ac:dyDescent="0.25" r="15" customHeight="1" ht="18.75">
      <c r="A15" s="1"/>
      <c r="B15" s="1"/>
      <c r="C15" s="2"/>
      <c r="D15" s="1"/>
      <c r="E15" s="1"/>
      <c r="F15" s="1"/>
      <c r="G15" s="1"/>
      <c r="H15" s="3"/>
      <c r="I15" s="3"/>
    </row>
    <row x14ac:dyDescent="0.25" r="16" customHeight="1" ht="18.75">
      <c r="A16" s="1"/>
      <c r="B16" s="1"/>
      <c r="C16" s="2"/>
      <c r="D16" s="1"/>
      <c r="E16" s="1"/>
      <c r="F16" s="1"/>
      <c r="G16" s="1"/>
      <c r="H16" s="3"/>
      <c r="I16" s="3"/>
    </row>
    <row x14ac:dyDescent="0.25" r="17" customHeight="1" ht="18.75">
      <c r="A17" s="1"/>
      <c r="B17" s="1"/>
      <c r="C17" s="2"/>
      <c r="D17" s="1"/>
      <c r="E17" s="1"/>
      <c r="F17" s="1"/>
      <c r="G17" s="1"/>
      <c r="H17" s="3"/>
      <c r="I17" s="3"/>
    </row>
    <row x14ac:dyDescent="0.25" r="18" customHeight="1" ht="18.75">
      <c r="A18" s="1"/>
      <c r="B18" s="1"/>
      <c r="C18" s="2"/>
      <c r="D18" s="1"/>
      <c r="E18" s="1"/>
      <c r="F18" s="1"/>
      <c r="G18" s="1"/>
      <c r="H18" s="3"/>
      <c r="I18" s="3"/>
    </row>
    <row x14ac:dyDescent="0.25" r="19" customHeight="1" ht="18.75">
      <c r="A19" s="1"/>
      <c r="B19" s="1"/>
      <c r="C19" s="2"/>
      <c r="D19" s="1"/>
      <c r="E19" s="1"/>
      <c r="F19" s="1"/>
      <c r="G19" s="1"/>
      <c r="H19" s="8">
        <f>10/17.5</f>
      </c>
      <c r="I19" s="8">
        <f>20/27.5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CAPA</vt:lpstr>
      <vt:lpstr>Regras de Utilização</vt:lpstr>
      <vt:lpstr>Pressupostos</vt:lpstr>
      <vt:lpstr>VN</vt:lpstr>
      <vt:lpstr>CMVMC</vt:lpstr>
      <vt:lpstr>FSE</vt:lpstr>
      <vt:lpstr>Gastos com Pessoal</vt:lpstr>
      <vt:lpstr>FundoManeio</vt:lpstr>
      <vt:lpstr>Investimento</vt:lpstr>
      <vt:lpstr>Financiamento</vt:lpstr>
      <vt:lpstr>Ponto Crítico</vt:lpstr>
      <vt:lpstr>DR</vt:lpstr>
      <vt:lpstr>Cash Flow</vt:lpstr>
      <vt:lpstr>PlanoFinanceiro</vt:lpstr>
      <vt:lpstr>Balanço</vt:lpstr>
      <vt:lpstr>Indicadores</vt:lpstr>
      <vt:lpstr>Avaliação</vt:lpstr>
      <vt:lpstr>Calculos Auxil- livre</vt:lpstr>
      <vt:lpstr>F livre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2025-04-14T15:32:21.599Z</dcterms:created>
  <dcterms:modified xsi:type="dcterms:W3CDTF">2025-04-14T15:32:21.599Z</dcterms:modified>
</cp:coreProperties>
</file>