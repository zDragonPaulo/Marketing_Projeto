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Marti\Documents\Marketing_Projeto\Recursos Adicionais\"/>
    </mc:Choice>
  </mc:AlternateContent>
  <xr:revisionPtr revIDLastSave="0" documentId="13_ncr:1_{5A422BC9-2F08-46D2-920C-28CDD6C57129}" xr6:coauthVersionLast="47" xr6:coauthVersionMax="47" xr10:uidLastSave="{00000000-0000-0000-0000-000000000000}"/>
  <bookViews>
    <workbookView xWindow="-108" yWindow="-108" windowWidth="23256" windowHeight="12456" tabRatio="797" firstSheet="9" activeTab="16" xr2:uid="{8E3C7622-8617-4757-8912-6E407307C122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FSE" sheetId="6" r:id="rId6"/>
    <sheet name="Gastos com Pessoal" sheetId="7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- livre" sheetId="28" r:id="rId18"/>
    <sheet name="F livre" sheetId="32" r:id="rId19"/>
  </sheets>
  <externalReferences>
    <externalReference r:id="rId20"/>
    <externalReference r:id="rId21"/>
  </externalReferences>
  <definedNames>
    <definedName name="anscount" hidden="1">1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_xlnm.Print_Area" localSheetId="16">Avaliação!$A$1:$I$76</definedName>
    <definedName name="_xlnm.Print_Area" localSheetId="14">Balanço!$A$1:$H$51</definedName>
    <definedName name="_xlnm.Print_Area" localSheetId="17">'Calculos Auxil- livre'!$A$1:$H$91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5">FSE!$A$1:$K$53</definedName>
    <definedName name="_xlnm.Print_Area" localSheetId="7">FundoManeio!$A$1:$H$27</definedName>
    <definedName name="_xlnm.Print_Area" localSheetId="6">'Gastos com Pessoal'!$A$1:$I$102</definedName>
    <definedName name="_xlnm.Print_Area" localSheetId="15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Pressupostos!$A$1:$E$45</definedName>
    <definedName name="_xlnm.Print_Area" localSheetId="1">'Regras de Utilização'!$B$1:$C$37</definedName>
    <definedName name="_xlnm.Print_Area" localSheetId="3">VN!$A$1:$H$88</definedName>
    <definedName name="_xlnm.Print_Titles" localSheetId="9">Financiamento!$1:$6</definedName>
    <definedName name="_xlnm.Print_Titles" localSheetId="6">'Gastos com Pessoal'!$1:$4</definedName>
    <definedName name="_xlnm.Print_Titles" localSheetId="3">VN!$1:$5</definedName>
    <definedName name="Rd">[1]INPUT!$B$4</definedName>
    <definedName name="Rf" xlm="1">[1]INPUT!$B$5</definedName>
    <definedName name="t">[1]INPUT!$B$7</definedName>
    <definedName name="TD">[1]INPUT!$B$9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5" l="1"/>
  <c r="D31" i="25"/>
  <c r="F31" i="25"/>
  <c r="G31" i="25"/>
  <c r="G135" i="25" s="1"/>
  <c r="H135" i="25" s="1"/>
  <c r="H31" i="25"/>
  <c r="C31" i="25"/>
  <c r="D38" i="1"/>
  <c r="E38" i="1"/>
  <c r="F38" i="1"/>
  <c r="G38" i="1" s="1"/>
  <c r="H38" i="1" s="1"/>
  <c r="D34" i="1"/>
  <c r="E34" i="1"/>
  <c r="F34" i="1" s="1"/>
  <c r="G34" i="1" s="1"/>
  <c r="H34" i="1" s="1"/>
  <c r="D18" i="1"/>
  <c r="E18" i="1" s="1"/>
  <c r="F18" i="1" s="1"/>
  <c r="G18" i="1" s="1"/>
  <c r="H18" i="1" s="1"/>
  <c r="D14" i="1"/>
  <c r="E14" i="1" s="1"/>
  <c r="F14" i="1" s="1"/>
  <c r="G14" i="1" s="1"/>
  <c r="H14" i="1" s="1"/>
  <c r="A28" i="7"/>
  <c r="A29" i="7"/>
  <c r="A30" i="7"/>
  <c r="A31" i="7"/>
  <c r="A32" i="7"/>
  <c r="A33" i="7"/>
  <c r="A34" i="7"/>
  <c r="A35" i="7"/>
  <c r="A36" i="7"/>
  <c r="A37" i="7"/>
  <c r="A27" i="7"/>
  <c r="H7" i="7"/>
  <c r="D58" i="7"/>
  <c r="E75" i="7"/>
  <c r="F75" i="7"/>
  <c r="G75" i="7"/>
  <c r="H75" i="7"/>
  <c r="I75" i="7"/>
  <c r="D75" i="7"/>
  <c r="D74" i="7" s="1"/>
  <c r="D92" i="7" s="1"/>
  <c r="I19" i="32"/>
  <c r="H19" i="32"/>
  <c r="C69" i="11"/>
  <c r="D69" i="11"/>
  <c r="C68" i="11"/>
  <c r="C70" i="11" s="1"/>
  <c r="C51" i="11" s="1"/>
  <c r="D68" i="11"/>
  <c r="E68" i="11" s="1"/>
  <c r="F29" i="6"/>
  <c r="F28" i="6"/>
  <c r="A37" i="1"/>
  <c r="A15" i="15"/>
  <c r="A8" i="29"/>
  <c r="F20" i="6"/>
  <c r="F17" i="6"/>
  <c r="A41" i="7"/>
  <c r="A55" i="7" s="1"/>
  <c r="A60" i="1"/>
  <c r="A33" i="1"/>
  <c r="A14" i="15" s="1"/>
  <c r="A64" i="1"/>
  <c r="A58" i="1"/>
  <c r="C74" i="25"/>
  <c r="B153" i="25" s="1"/>
  <c r="C74" i="7"/>
  <c r="D20" i="1"/>
  <c r="E20" i="1"/>
  <c r="E17" i="1" s="1"/>
  <c r="E10" i="15" s="1"/>
  <c r="F27" i="6"/>
  <c r="C75" i="25"/>
  <c r="B160" i="25"/>
  <c r="E163" i="25" s="1"/>
  <c r="F163" i="25" s="1"/>
  <c r="G163" i="25" s="1"/>
  <c r="H163" i="25" s="1"/>
  <c r="C73" i="25"/>
  <c r="B146" i="25" s="1"/>
  <c r="E149" i="25" s="1"/>
  <c r="F149" i="25" s="1"/>
  <c r="G149" i="25" s="1"/>
  <c r="H149" i="25" s="1"/>
  <c r="C72" i="25"/>
  <c r="B139" i="25"/>
  <c r="G144" i="25" s="1"/>
  <c r="H144" i="25" s="1"/>
  <c r="C54" i="25"/>
  <c r="D54" i="25" s="1"/>
  <c r="E54" i="25" s="1"/>
  <c r="F54" i="25" s="1"/>
  <c r="G54" i="25" s="1"/>
  <c r="H54" i="25" s="1"/>
  <c r="C55" i="25"/>
  <c r="D55" i="25"/>
  <c r="E55" i="25"/>
  <c r="F55" i="25" s="1"/>
  <c r="G55" i="25" s="1"/>
  <c r="H55" i="25" s="1"/>
  <c r="C47" i="25"/>
  <c r="D47" i="25" s="1"/>
  <c r="E47" i="25" s="1"/>
  <c r="F47" i="25"/>
  <c r="G47" i="25"/>
  <c r="H47" i="25" s="1"/>
  <c r="C48" i="25"/>
  <c r="D48" i="25"/>
  <c r="E48" i="25" s="1"/>
  <c r="F48" i="25" s="1"/>
  <c r="G48" i="25"/>
  <c r="H48" i="25"/>
  <c r="C42" i="25"/>
  <c r="D42" i="25" s="1"/>
  <c r="E42" i="25" s="1"/>
  <c r="F42" i="25" s="1"/>
  <c r="G42" i="25" s="1"/>
  <c r="H42" i="25" s="1"/>
  <c r="C43" i="25"/>
  <c r="D43" i="25" s="1"/>
  <c r="C44" i="25"/>
  <c r="C49" i="25" s="1"/>
  <c r="C45" i="25"/>
  <c r="D45" i="25" s="1"/>
  <c r="E45" i="25" s="1"/>
  <c r="F45" i="25" s="1"/>
  <c r="G45" i="25" s="1"/>
  <c r="H45" i="25" s="1"/>
  <c r="C46" i="25"/>
  <c r="D46" i="25"/>
  <c r="E46" i="25" s="1"/>
  <c r="F46" i="25" s="1"/>
  <c r="G46" i="25" s="1"/>
  <c r="H46" i="25" s="1"/>
  <c r="C38" i="25"/>
  <c r="D38" i="25"/>
  <c r="E38" i="25" s="1"/>
  <c r="F38" i="25" s="1"/>
  <c r="G38" i="25" s="1"/>
  <c r="H38" i="25" s="1"/>
  <c r="C39" i="25"/>
  <c r="C16" i="12"/>
  <c r="A62" i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/>
  <c r="J39" i="6"/>
  <c r="K39" i="6" s="1"/>
  <c r="G39" i="6"/>
  <c r="F39" i="6"/>
  <c r="H37" i="6"/>
  <c r="I37" i="6"/>
  <c r="J37" i="6" s="1"/>
  <c r="K37" i="6" s="1"/>
  <c r="G37" i="6"/>
  <c r="F37" i="6"/>
  <c r="H36" i="6"/>
  <c r="I36" i="6" s="1"/>
  <c r="J36" i="6" s="1"/>
  <c r="K36" i="6" s="1"/>
  <c r="G36" i="6"/>
  <c r="F36" i="6"/>
  <c r="I35" i="6"/>
  <c r="J35" i="6" s="1"/>
  <c r="K35" i="6" s="1"/>
  <c r="G35" i="6"/>
  <c r="F35" i="6"/>
  <c r="H33" i="6"/>
  <c r="I33" i="6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/>
  <c r="J29" i="6" s="1"/>
  <c r="K29" i="6" s="1"/>
  <c r="G29" i="6"/>
  <c r="H28" i="6"/>
  <c r="I28" i="6" s="1"/>
  <c r="J28" i="6" s="1"/>
  <c r="K28" i="6" s="1"/>
  <c r="G28" i="6"/>
  <c r="H27" i="6"/>
  <c r="I27" i="6"/>
  <c r="J27" i="6"/>
  <c r="K27" i="6" s="1"/>
  <c r="G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H17" i="6"/>
  <c r="I17" i="6" s="1"/>
  <c r="J17" i="6" s="1"/>
  <c r="K17" i="6" s="1"/>
  <c r="F18" i="6"/>
  <c r="G18" i="6"/>
  <c r="H18" i="6"/>
  <c r="I18" i="6" s="1"/>
  <c r="J18" i="6" s="1"/>
  <c r="K18" i="6" s="1"/>
  <c r="G20" i="6"/>
  <c r="H20" i="6"/>
  <c r="I20" i="6" s="1"/>
  <c r="J20" i="6"/>
  <c r="K20" i="6" s="1"/>
  <c r="H13" i="6"/>
  <c r="I13" i="6" s="1"/>
  <c r="H15" i="6"/>
  <c r="I15" i="6" s="1"/>
  <c r="J15" i="6"/>
  <c r="K15" i="6" s="1"/>
  <c r="G13" i="6"/>
  <c r="F13" i="6"/>
  <c r="H95" i="9"/>
  <c r="H98" i="9"/>
  <c r="G82" i="9"/>
  <c r="F69" i="9"/>
  <c r="E56" i="9"/>
  <c r="D43" i="9"/>
  <c r="C30" i="9"/>
  <c r="C104" i="9" s="1"/>
  <c r="C23" i="20" s="1"/>
  <c r="B79" i="25"/>
  <c r="B123" i="25"/>
  <c r="B130" i="25"/>
  <c r="E133" i="25" s="1"/>
  <c r="D12" i="25"/>
  <c r="D21" i="25"/>
  <c r="C13" i="1"/>
  <c r="C9" i="15" s="1"/>
  <c r="E56" i="7"/>
  <c r="D16" i="1"/>
  <c r="D56" i="7"/>
  <c r="D57" i="7"/>
  <c r="D59" i="7"/>
  <c r="D60" i="7"/>
  <c r="D61" i="7"/>
  <c r="D62" i="7"/>
  <c r="D63" i="7"/>
  <c r="D64" i="7"/>
  <c r="D65" i="7"/>
  <c r="D55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C8" i="1"/>
  <c r="C57" i="1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D25" i="28" s="1"/>
  <c r="C72" i="28"/>
  <c r="H33" i="28"/>
  <c r="G33" i="28"/>
  <c r="F33" i="28"/>
  <c r="E33" i="28"/>
  <c r="D33" i="28"/>
  <c r="C33" i="28"/>
  <c r="D11" i="20"/>
  <c r="E11" i="20"/>
  <c r="F11" i="20"/>
  <c r="G11" i="20"/>
  <c r="H11" i="20"/>
  <c r="C100" i="7"/>
  <c r="C101" i="7"/>
  <c r="C99" i="7"/>
  <c r="C72" i="7"/>
  <c r="C71" i="7"/>
  <c r="D71" i="7" s="1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/>
  <c r="E31" i="4"/>
  <c r="F31" i="4"/>
  <c r="G31" i="4"/>
  <c r="H31" i="4" s="1"/>
  <c r="D27" i="2"/>
  <c r="E15" i="20" s="1"/>
  <c r="E27" i="2"/>
  <c r="F15" i="20" s="1"/>
  <c r="F27" i="2"/>
  <c r="G15" i="20" s="1"/>
  <c r="G27" i="2"/>
  <c r="H15" i="20" s="1"/>
  <c r="B116" i="25"/>
  <c r="B109" i="25"/>
  <c r="B102" i="25"/>
  <c r="B95" i="25"/>
  <c r="H101" i="25" s="1"/>
  <c r="B86" i="25"/>
  <c r="G91" i="25" s="1"/>
  <c r="H91" i="25" s="1"/>
  <c r="C53" i="25"/>
  <c r="D53" i="25"/>
  <c r="E53" i="25" s="1"/>
  <c r="C52" i="25"/>
  <c r="D52" i="25"/>
  <c r="E52" i="25" s="1"/>
  <c r="F52" i="25" s="1"/>
  <c r="G52" i="25" s="1"/>
  <c r="H52" i="25" s="1"/>
  <c r="C51" i="25"/>
  <c r="C37" i="25"/>
  <c r="D37" i="25"/>
  <c r="E37" i="25" s="1"/>
  <c r="F37" i="25" s="1"/>
  <c r="E93" i="7"/>
  <c r="F93" i="7"/>
  <c r="G93" i="7"/>
  <c r="H93" i="7"/>
  <c r="I93" i="7"/>
  <c r="D93" i="7"/>
  <c r="G15" i="6"/>
  <c r="G47" i="6" s="1"/>
  <c r="C11" i="29" s="1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58" i="7"/>
  <c r="E59" i="7"/>
  <c r="F60" i="7"/>
  <c r="E62" i="7"/>
  <c r="E63" i="7"/>
  <c r="E64" i="7"/>
  <c r="F64" i="7"/>
  <c r="E65" i="7"/>
  <c r="E23" i="7"/>
  <c r="F23" i="7"/>
  <c r="G23" i="7"/>
  <c r="G74" i="7" s="1"/>
  <c r="G92" i="7" s="1"/>
  <c r="H23" i="7"/>
  <c r="I23" i="7"/>
  <c r="D23" i="7"/>
  <c r="D46" i="1"/>
  <c r="H67" i="9"/>
  <c r="B33" i="25"/>
  <c r="E33" i="25" s="1"/>
  <c r="B72" i="1"/>
  <c r="B78" i="1"/>
  <c r="C13" i="12"/>
  <c r="B18" i="15"/>
  <c r="D9" i="3"/>
  <c r="D22" i="4" s="1"/>
  <c r="C27" i="2"/>
  <c r="D15" i="20" s="1"/>
  <c r="D10" i="20"/>
  <c r="E10" i="20"/>
  <c r="F10" i="20"/>
  <c r="G10" i="20"/>
  <c r="H10" i="20"/>
  <c r="E12" i="20"/>
  <c r="F12" i="20"/>
  <c r="G12" i="20"/>
  <c r="H12" i="20"/>
  <c r="C33" i="1"/>
  <c r="C14" i="15"/>
  <c r="C14" i="12"/>
  <c r="C15" i="12"/>
  <c r="C66" i="1"/>
  <c r="C76" i="1"/>
  <c r="C54" i="1"/>
  <c r="C75" i="1"/>
  <c r="D36" i="1"/>
  <c r="E36" i="1"/>
  <c r="A12" i="15"/>
  <c r="A11" i="15"/>
  <c r="A10" i="15"/>
  <c r="A9" i="15"/>
  <c r="D62" i="1"/>
  <c r="E62" i="1"/>
  <c r="F62" i="1"/>
  <c r="G62" i="1" s="1"/>
  <c r="H62" i="1" s="1"/>
  <c r="D24" i="1"/>
  <c r="D22" i="1"/>
  <c r="E22" i="1"/>
  <c r="F22" i="1" s="1"/>
  <c r="G22" i="1" s="1"/>
  <c r="H22" i="1" s="1"/>
  <c r="D28" i="1"/>
  <c r="E28" i="1" s="1"/>
  <c r="D26" i="1"/>
  <c r="E26" i="1"/>
  <c r="F26" i="1" s="1"/>
  <c r="G26" i="1" s="1"/>
  <c r="H26" i="1" s="1"/>
  <c r="D40" i="1"/>
  <c r="E40" i="1"/>
  <c r="D50" i="1"/>
  <c r="E50" i="1" s="1"/>
  <c r="F50" i="1" s="1"/>
  <c r="G50" i="1" s="1"/>
  <c r="H50" i="1" s="1"/>
  <c r="D52" i="1"/>
  <c r="E52" i="1" s="1"/>
  <c r="F52" i="1" s="1"/>
  <c r="G52" i="1" s="1"/>
  <c r="H52" i="1" s="1"/>
  <c r="D60" i="1"/>
  <c r="D64" i="1"/>
  <c r="E64" i="1"/>
  <c r="F64" i="1" s="1"/>
  <c r="G64" i="1" s="1"/>
  <c r="C17" i="1"/>
  <c r="C10" i="15" s="1"/>
  <c r="C21" i="1"/>
  <c r="C25" i="1"/>
  <c r="C12" i="15" s="1"/>
  <c r="C37" i="1"/>
  <c r="C15" i="15"/>
  <c r="H2" i="25"/>
  <c r="H1" i="25"/>
  <c r="A51" i="7"/>
  <c r="A65" i="7" s="1"/>
  <c r="A50" i="7"/>
  <c r="A64" i="7" s="1"/>
  <c r="A49" i="7"/>
  <c r="A63" i="7" s="1"/>
  <c r="A48" i="7"/>
  <c r="A62" i="7" s="1"/>
  <c r="A47" i="7"/>
  <c r="A61" i="7"/>
  <c r="A46" i="7"/>
  <c r="A60" i="7"/>
  <c r="A45" i="7"/>
  <c r="A59" i="7"/>
  <c r="A44" i="7"/>
  <c r="A58" i="7"/>
  <c r="A43" i="7"/>
  <c r="A57" i="7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68" i="9"/>
  <c r="F70" i="9" s="1"/>
  <c r="G79" i="9"/>
  <c r="H92" i="9"/>
  <c r="C11" i="18"/>
  <c r="E11" i="18"/>
  <c r="H11" i="18"/>
  <c r="D11" i="18"/>
  <c r="F11" i="18"/>
  <c r="G11" i="18"/>
  <c r="H73" i="11"/>
  <c r="H74" i="11"/>
  <c r="H87" i="11" s="1"/>
  <c r="I87" i="11" s="1"/>
  <c r="G73" i="11"/>
  <c r="G74" i="11" s="1"/>
  <c r="G87" i="11" s="1"/>
  <c r="F73" i="11"/>
  <c r="F74" i="11"/>
  <c r="F87" i="11" s="1"/>
  <c r="E73" i="11"/>
  <c r="E74" i="11" s="1"/>
  <c r="E87" i="11" s="1"/>
  <c r="D73" i="11"/>
  <c r="D74" i="11" s="1"/>
  <c r="D87" i="11" s="1"/>
  <c r="C73" i="11"/>
  <c r="C74" i="11" s="1"/>
  <c r="C87" i="11" s="1"/>
  <c r="H93" i="9"/>
  <c r="H94" i="9" s="1"/>
  <c r="H96" i="9" s="1"/>
  <c r="F41" i="9"/>
  <c r="F67" i="9"/>
  <c r="G67" i="9"/>
  <c r="G80" i="9"/>
  <c r="H80" i="9"/>
  <c r="C22" i="4"/>
  <c r="C46" i="4"/>
  <c r="B27" i="2"/>
  <c r="C15" i="20" s="1"/>
  <c r="C28" i="9"/>
  <c r="E28" i="9"/>
  <c r="D41" i="9"/>
  <c r="G54" i="9"/>
  <c r="H54" i="9"/>
  <c r="F54" i="9"/>
  <c r="E54" i="9"/>
  <c r="G28" i="9"/>
  <c r="D28" i="9"/>
  <c r="H28" i="9"/>
  <c r="F28" i="9"/>
  <c r="G41" i="9"/>
  <c r="H41" i="9"/>
  <c r="E41" i="9"/>
  <c r="H38" i="6"/>
  <c r="I38" i="6" s="1"/>
  <c r="J38" i="6" s="1"/>
  <c r="K38" i="6" s="1"/>
  <c r="F38" i="6"/>
  <c r="G38" i="6"/>
  <c r="F72" i="9"/>
  <c r="D39" i="25"/>
  <c r="G114" i="25"/>
  <c r="H114" i="25" s="1"/>
  <c r="E119" i="25"/>
  <c r="F119" i="25" s="1"/>
  <c r="G119" i="25"/>
  <c r="H119" i="25" s="1"/>
  <c r="D111" i="25"/>
  <c r="E111" i="25" s="1"/>
  <c r="F111" i="25" s="1"/>
  <c r="G111" i="25"/>
  <c r="D97" i="25"/>
  <c r="E97" i="25" s="1"/>
  <c r="F97" i="25" s="1"/>
  <c r="G97" i="25" s="1"/>
  <c r="H97" i="25" s="1"/>
  <c r="E98" i="25"/>
  <c r="F98" i="25"/>
  <c r="G98" i="25" s="1"/>
  <c r="H98" i="25" s="1"/>
  <c r="D132" i="25"/>
  <c r="E132" i="25" s="1"/>
  <c r="F132" i="25" s="1"/>
  <c r="G132" i="25" s="1"/>
  <c r="H132" i="25" s="1"/>
  <c r="F134" i="25"/>
  <c r="G134" i="25" s="1"/>
  <c r="H134" i="25"/>
  <c r="G61" i="7"/>
  <c r="F61" i="7"/>
  <c r="G60" i="7"/>
  <c r="F63" i="7"/>
  <c r="E61" i="7"/>
  <c r="F56" i="7"/>
  <c r="E60" i="7"/>
  <c r="G128" i="25"/>
  <c r="H128" i="25" s="1"/>
  <c r="H64" i="1"/>
  <c r="C11" i="15"/>
  <c r="E126" i="25"/>
  <c r="F126" i="25" s="1"/>
  <c r="G126" i="25" s="1"/>
  <c r="H126" i="25" s="1"/>
  <c r="F57" i="7"/>
  <c r="E57" i="7"/>
  <c r="F113" i="25"/>
  <c r="G113" i="25" s="1"/>
  <c r="H113" i="25" s="1"/>
  <c r="E112" i="25"/>
  <c r="F112" i="25"/>
  <c r="H115" i="25"/>
  <c r="G33" i="25"/>
  <c r="H33" i="25"/>
  <c r="F33" i="25"/>
  <c r="D51" i="25"/>
  <c r="E51" i="25" s="1"/>
  <c r="F51" i="25" s="1"/>
  <c r="D118" i="25"/>
  <c r="E118" i="25"/>
  <c r="F118" i="25" s="1"/>
  <c r="G118" i="25" s="1"/>
  <c r="H118" i="25" s="1"/>
  <c r="H122" i="25"/>
  <c r="E105" i="25"/>
  <c r="F105" i="25" s="1"/>
  <c r="G105" i="25" s="1"/>
  <c r="H105" i="25" s="1"/>
  <c r="C28" i="4"/>
  <c r="D28" i="4"/>
  <c r="E28" i="4"/>
  <c r="F28" i="4" s="1"/>
  <c r="G28" i="4" s="1"/>
  <c r="H28" i="4" s="1"/>
  <c r="C11" i="20"/>
  <c r="G56" i="7"/>
  <c r="G57" i="7"/>
  <c r="F58" i="7"/>
  <c r="E69" i="11"/>
  <c r="F69" i="11"/>
  <c r="G69" i="11" s="1"/>
  <c r="H69" i="11" s="1"/>
  <c r="I69" i="11" s="1"/>
  <c r="F120" i="25"/>
  <c r="G120" i="25"/>
  <c r="H120" i="25" s="1"/>
  <c r="F133" i="25"/>
  <c r="G133" i="25" s="1"/>
  <c r="H133" i="25" s="1"/>
  <c r="F127" i="25"/>
  <c r="G127" i="25" s="1"/>
  <c r="H127" i="25" s="1"/>
  <c r="F62" i="7"/>
  <c r="F55" i="7"/>
  <c r="F65" i="7"/>
  <c r="G59" i="7"/>
  <c r="G58" i="7"/>
  <c r="F59" i="7"/>
  <c r="E55" i="7"/>
  <c r="G63" i="7"/>
  <c r="G64" i="7"/>
  <c r="G55" i="7"/>
  <c r="G88" i="7" s="1"/>
  <c r="E88" i="7"/>
  <c r="E71" i="7"/>
  <c r="G65" i="7"/>
  <c r="G62" i="7"/>
  <c r="F19" i="6"/>
  <c r="G19" i="6"/>
  <c r="G17" i="6"/>
  <c r="H19" i="6"/>
  <c r="I19" i="6" s="1"/>
  <c r="J19" i="6"/>
  <c r="K19" i="6" s="1"/>
  <c r="G112" i="25"/>
  <c r="H112" i="25" s="1"/>
  <c r="H111" i="25"/>
  <c r="D88" i="7"/>
  <c r="D104" i="25"/>
  <c r="E104" i="25"/>
  <c r="F104" i="25" s="1"/>
  <c r="G104" i="25" s="1"/>
  <c r="H104" i="25" s="1"/>
  <c r="G107" i="25"/>
  <c r="H107" i="25" s="1"/>
  <c r="H136" i="25"/>
  <c r="F106" i="25"/>
  <c r="G106" i="25" s="1"/>
  <c r="H106" i="25" s="1"/>
  <c r="C18" i="11"/>
  <c r="C38" i="11"/>
  <c r="D70" i="11"/>
  <c r="C11" i="11"/>
  <c r="C86" i="11"/>
  <c r="H97" i="9" l="1"/>
  <c r="D40" i="25"/>
  <c r="E72" i="7"/>
  <c r="H47" i="6"/>
  <c r="D11" i="29" s="1"/>
  <c r="C78" i="1"/>
  <c r="C8" i="15"/>
  <c r="F20" i="1"/>
  <c r="G20" i="1" s="1"/>
  <c r="H20" i="1" s="1"/>
  <c r="H17" i="1" s="1"/>
  <c r="H10" i="15" s="1"/>
  <c r="C27" i="11"/>
  <c r="D6" i="7"/>
  <c r="B6" i="5"/>
  <c r="B10" i="5" s="1"/>
  <c r="D155" i="25"/>
  <c r="E155" i="25" s="1"/>
  <c r="F155" i="25" s="1"/>
  <c r="G155" i="25" s="1"/>
  <c r="H155" i="25" s="1"/>
  <c r="E156" i="25"/>
  <c r="F156" i="25" s="1"/>
  <c r="G156" i="25" s="1"/>
  <c r="H156" i="25" s="1"/>
  <c r="F28" i="1"/>
  <c r="E25" i="1"/>
  <c r="E12" i="15" s="1"/>
  <c r="D17" i="1"/>
  <c r="D10" i="15" s="1"/>
  <c r="D88" i="25"/>
  <c r="E88" i="25" s="1"/>
  <c r="F88" i="25" s="1"/>
  <c r="G88" i="25" s="1"/>
  <c r="H88" i="25" s="1"/>
  <c r="G43" i="6"/>
  <c r="C14" i="2" s="1"/>
  <c r="C131" i="25"/>
  <c r="B21" i="5"/>
  <c r="H87" i="28"/>
  <c r="F164" i="25"/>
  <c r="G164" i="25" s="1"/>
  <c r="H164" i="25" s="1"/>
  <c r="F143" i="25"/>
  <c r="G143" i="25" s="1"/>
  <c r="H143" i="25" s="1"/>
  <c r="E29" i="25"/>
  <c r="E9" i="3"/>
  <c r="F9" i="3" s="1"/>
  <c r="F150" i="25"/>
  <c r="G150" i="25" s="1"/>
  <c r="H150" i="25" s="1"/>
  <c r="E89" i="7"/>
  <c r="E100" i="7" s="1"/>
  <c r="C36" i="28"/>
  <c r="C54" i="28" s="1"/>
  <c r="F12" i="6"/>
  <c r="F89" i="7"/>
  <c r="F100" i="7" s="1"/>
  <c r="G121" i="25"/>
  <c r="H121" i="25" s="1"/>
  <c r="F99" i="25"/>
  <c r="G99" i="25" s="1"/>
  <c r="H99" i="25" s="1"/>
  <c r="D44" i="25"/>
  <c r="E44" i="25" s="1"/>
  <c r="F44" i="25" s="1"/>
  <c r="G44" i="25" s="1"/>
  <c r="H44" i="25" s="1"/>
  <c r="C87" i="28"/>
  <c r="C29" i="1"/>
  <c r="C69" i="1" s="1"/>
  <c r="H145" i="25"/>
  <c r="F17" i="1"/>
  <c r="F10" i="15" s="1"/>
  <c r="E66" i="7"/>
  <c r="E73" i="7" s="1"/>
  <c r="E91" i="7" s="1"/>
  <c r="D33" i="25"/>
  <c r="D162" i="25"/>
  <c r="E162" i="25" s="1"/>
  <c r="F162" i="25" s="1"/>
  <c r="G162" i="25" s="1"/>
  <c r="H162" i="25" s="1"/>
  <c r="C33" i="25"/>
  <c r="C7" i="25"/>
  <c r="C171" i="25" s="1"/>
  <c r="D171" i="25" s="1"/>
  <c r="E171" i="25" s="1"/>
  <c r="F171" i="25" s="1"/>
  <c r="G171" i="25" s="1"/>
  <c r="H171" i="25" s="1"/>
  <c r="C148" i="25"/>
  <c r="B7" i="29"/>
  <c r="C141" i="25"/>
  <c r="D37" i="1"/>
  <c r="D15" i="15" s="1"/>
  <c r="D148" i="25"/>
  <c r="E148" i="25" s="1"/>
  <c r="F148" i="25" s="1"/>
  <c r="G148" i="25" s="1"/>
  <c r="H148" i="25" s="1"/>
  <c r="C96" i="25"/>
  <c r="D96" i="25" s="1"/>
  <c r="F29" i="25"/>
  <c r="F87" i="28"/>
  <c r="E87" i="28"/>
  <c r="C41" i="1"/>
  <c r="C70" i="1" s="1"/>
  <c r="C161" i="25"/>
  <c r="D161" i="25" s="1"/>
  <c r="C40" i="25"/>
  <c r="C12" i="1"/>
  <c r="C7" i="18"/>
  <c r="E39" i="25"/>
  <c r="F39" i="25" s="1"/>
  <c r="G39" i="25" s="1"/>
  <c r="H39" i="25" s="1"/>
  <c r="E55" i="9"/>
  <c r="G45" i="6"/>
  <c r="G49" i="6" s="1"/>
  <c r="E99" i="7"/>
  <c r="D99" i="7"/>
  <c r="G99" i="7"/>
  <c r="D13" i="1"/>
  <c r="E16" i="1"/>
  <c r="D89" i="7"/>
  <c r="D100" i="7" s="1"/>
  <c r="D72" i="7"/>
  <c r="D90" i="7" s="1"/>
  <c r="D54" i="1"/>
  <c r="D75" i="1" s="1"/>
  <c r="E46" i="1"/>
  <c r="F40" i="1"/>
  <c r="E37" i="1"/>
  <c r="E15" i="15" s="1"/>
  <c r="G17" i="1"/>
  <c r="G10" i="15" s="1"/>
  <c r="F36" i="1"/>
  <c r="E33" i="1"/>
  <c r="E70" i="11"/>
  <c r="F68" i="11"/>
  <c r="D66" i="7"/>
  <c r="F47" i="6"/>
  <c r="B11" i="29" s="1"/>
  <c r="F43" i="6"/>
  <c r="I43" i="6"/>
  <c r="I51" i="6"/>
  <c r="I45" i="6"/>
  <c r="J13" i="6"/>
  <c r="I47" i="6"/>
  <c r="E11" i="29" s="1"/>
  <c r="G37" i="25"/>
  <c r="D51" i="11"/>
  <c r="D52" i="11" s="1"/>
  <c r="D71" i="11"/>
  <c r="D11" i="11"/>
  <c r="D12" i="11" s="1"/>
  <c r="E90" i="7"/>
  <c r="H60" i="7"/>
  <c r="H62" i="7"/>
  <c r="H64" i="7"/>
  <c r="H58" i="7"/>
  <c r="I7" i="7"/>
  <c r="H57" i="7"/>
  <c r="H55" i="7"/>
  <c r="H65" i="7"/>
  <c r="H56" i="7"/>
  <c r="H61" i="7"/>
  <c r="H63" i="7"/>
  <c r="H59" i="7"/>
  <c r="D86" i="11"/>
  <c r="F53" i="25"/>
  <c r="G53" i="25" s="1"/>
  <c r="H53" i="25" s="1"/>
  <c r="E56" i="25"/>
  <c r="C56" i="25"/>
  <c r="I74" i="7"/>
  <c r="I92" i="7" s="1"/>
  <c r="E74" i="7"/>
  <c r="E92" i="7" s="1"/>
  <c r="F74" i="7"/>
  <c r="F92" i="7" s="1"/>
  <c r="H74" i="7"/>
  <c r="H92" i="7" s="1"/>
  <c r="D11" i="7"/>
  <c r="D40" i="7" s="1"/>
  <c r="D54" i="7" s="1"/>
  <c r="D69" i="7"/>
  <c r="D86" i="7"/>
  <c r="D97" i="7" s="1"/>
  <c r="C18" i="15"/>
  <c r="G81" i="9"/>
  <c r="G85" i="9"/>
  <c r="G69" i="9"/>
  <c r="G66" i="9"/>
  <c r="C160" i="25"/>
  <c r="F19" i="20"/>
  <c r="F19" i="18"/>
  <c r="D87" i="28"/>
  <c r="C7" i="9"/>
  <c r="C13" i="9" s="1"/>
  <c r="A26" i="9" s="1"/>
  <c r="C7" i="20"/>
  <c r="C7" i="15"/>
  <c r="C47" i="11"/>
  <c r="D8" i="1"/>
  <c r="C45" i="1"/>
  <c r="C32" i="1"/>
  <c r="F7" i="6"/>
  <c r="C7" i="4"/>
  <c r="C29" i="25"/>
  <c r="E43" i="25"/>
  <c r="F90" i="25"/>
  <c r="G90" i="25" s="1"/>
  <c r="H90" i="25" s="1"/>
  <c r="C124" i="25"/>
  <c r="C110" i="25"/>
  <c r="E89" i="25"/>
  <c r="F89" i="25" s="1"/>
  <c r="G89" i="25" s="1"/>
  <c r="H89" i="25" s="1"/>
  <c r="C140" i="25"/>
  <c r="C147" i="25"/>
  <c r="H92" i="25"/>
  <c r="C117" i="25"/>
  <c r="C154" i="25"/>
  <c r="C80" i="25"/>
  <c r="C87" i="25"/>
  <c r="D125" i="25"/>
  <c r="E125" i="25" s="1"/>
  <c r="F125" i="25" s="1"/>
  <c r="G125" i="25" s="1"/>
  <c r="H125" i="25" s="1"/>
  <c r="H129" i="25"/>
  <c r="B25" i="5"/>
  <c r="B16" i="5"/>
  <c r="F88" i="7"/>
  <c r="F66" i="7"/>
  <c r="C103" i="25"/>
  <c r="F71" i="9"/>
  <c r="G51" i="6"/>
  <c r="F83" i="25"/>
  <c r="G83" i="25" s="1"/>
  <c r="H83" i="25" s="1"/>
  <c r="D81" i="25"/>
  <c r="E81" i="25" s="1"/>
  <c r="F81" i="25" s="1"/>
  <c r="G81" i="25" s="1"/>
  <c r="H81" i="25" s="1"/>
  <c r="G84" i="25"/>
  <c r="H84" i="25" s="1"/>
  <c r="H85" i="25"/>
  <c r="E82" i="25"/>
  <c r="F82" i="25" s="1"/>
  <c r="G82" i="25" s="1"/>
  <c r="H82" i="25" s="1"/>
  <c r="C77" i="11"/>
  <c r="D77" i="11" s="1"/>
  <c r="E77" i="11" s="1"/>
  <c r="F77" i="11" s="1"/>
  <c r="G77" i="11" s="1"/>
  <c r="H77" i="11" s="1"/>
  <c r="C7" i="11"/>
  <c r="C7" i="3"/>
  <c r="B7" i="2"/>
  <c r="H51" i="6"/>
  <c r="H43" i="6"/>
  <c r="H45" i="6"/>
  <c r="G87" i="28"/>
  <c r="F45" i="6"/>
  <c r="D56" i="25"/>
  <c r="D72" i="28"/>
  <c r="D36" i="28"/>
  <c r="D54" i="28" s="1"/>
  <c r="E25" i="28"/>
  <c r="G71" i="7"/>
  <c r="F71" i="7"/>
  <c r="G51" i="25"/>
  <c r="F72" i="7"/>
  <c r="G72" i="7"/>
  <c r="D25" i="1"/>
  <c r="D12" i="15" s="1"/>
  <c r="D33" i="1"/>
  <c r="H159" i="25"/>
  <c r="H166" i="25"/>
  <c r="H108" i="25"/>
  <c r="H152" i="25"/>
  <c r="E59" i="9"/>
  <c r="C13" i="15"/>
  <c r="C16" i="15" s="1"/>
  <c r="H29" i="25"/>
  <c r="G66" i="7"/>
  <c r="G89" i="7"/>
  <c r="D29" i="25"/>
  <c r="E142" i="25"/>
  <c r="F142" i="25" s="1"/>
  <c r="G142" i="25" s="1"/>
  <c r="H142" i="25" s="1"/>
  <c r="D141" i="25"/>
  <c r="E141" i="25" s="1"/>
  <c r="F141" i="25" s="1"/>
  <c r="G141" i="25" s="1"/>
  <c r="H141" i="25" s="1"/>
  <c r="D21" i="1"/>
  <c r="D11" i="15" s="1"/>
  <c r="E24" i="1"/>
  <c r="G29" i="25"/>
  <c r="C77" i="1"/>
  <c r="F51" i="6"/>
  <c r="G165" i="25"/>
  <c r="H165" i="25" s="1"/>
  <c r="G100" i="25"/>
  <c r="H100" i="25" s="1"/>
  <c r="G158" i="25"/>
  <c r="H158" i="25" s="1"/>
  <c r="G151" i="25"/>
  <c r="H151" i="25" s="1"/>
  <c r="F157" i="25"/>
  <c r="G157" i="25" s="1"/>
  <c r="H157" i="25" s="1"/>
  <c r="E60" i="1"/>
  <c r="D66" i="1"/>
  <c r="D76" i="1" s="1"/>
  <c r="D49" i="25" l="1"/>
  <c r="E22" i="4"/>
  <c r="E101" i="7"/>
  <c r="D31" i="3" s="1"/>
  <c r="H49" i="6"/>
  <c r="E19" i="18"/>
  <c r="E19" i="20"/>
  <c r="E94" i="7"/>
  <c r="C15" i="2" s="1"/>
  <c r="E81" i="7"/>
  <c r="E83" i="7" s="1"/>
  <c r="C71" i="1"/>
  <c r="C72" i="1"/>
  <c r="C82" i="1" s="1"/>
  <c r="C32" i="3" s="1"/>
  <c r="C178" i="25"/>
  <c r="D178" i="25" s="1"/>
  <c r="E178" i="25" s="1"/>
  <c r="F178" i="25" s="1"/>
  <c r="G178" i="25" s="1"/>
  <c r="H178" i="25" s="1"/>
  <c r="C35" i="25"/>
  <c r="C77" i="25"/>
  <c r="A80" i="25" s="1"/>
  <c r="E57" i="9"/>
  <c r="E58" i="9" s="1"/>
  <c r="H72" i="7"/>
  <c r="C95" i="25"/>
  <c r="F40" i="25"/>
  <c r="C80" i="1"/>
  <c r="C84" i="1" s="1"/>
  <c r="D101" i="7"/>
  <c r="C31" i="3" s="1"/>
  <c r="C130" i="25"/>
  <c r="D131" i="25"/>
  <c r="E71" i="11"/>
  <c r="E40" i="25"/>
  <c r="G28" i="1"/>
  <c r="F25" i="1"/>
  <c r="F12" i="15" s="1"/>
  <c r="G53" i="6"/>
  <c r="C11" i="3"/>
  <c r="C16" i="4" s="1"/>
  <c r="C20" i="15"/>
  <c r="B13" i="2"/>
  <c r="B10" i="29" s="1"/>
  <c r="F53" i="6"/>
  <c r="B14" i="2"/>
  <c r="F53" i="9"/>
  <c r="F56" i="9"/>
  <c r="D73" i="7"/>
  <c r="D91" i="7" s="1"/>
  <c r="D94" i="7" s="1"/>
  <c r="B15" i="2" s="1"/>
  <c r="F25" i="28"/>
  <c r="E72" i="28"/>
  <c r="E36" i="28"/>
  <c r="E54" i="28" s="1"/>
  <c r="G68" i="11"/>
  <c r="F70" i="11"/>
  <c r="C146" i="25"/>
  <c r="D147" i="25"/>
  <c r="F71" i="11"/>
  <c r="E51" i="11"/>
  <c r="E52" i="11" s="1"/>
  <c r="E11" i="11"/>
  <c r="E12" i="11" s="1"/>
  <c r="E86" i="11"/>
  <c r="C139" i="25"/>
  <c r="D140" i="25"/>
  <c r="E14" i="15"/>
  <c r="E13" i="15" s="1"/>
  <c r="E41" i="1"/>
  <c r="E70" i="1" s="1"/>
  <c r="C30" i="3"/>
  <c r="G19" i="20"/>
  <c r="G19" i="18"/>
  <c r="G40" i="25"/>
  <c r="H37" i="25"/>
  <c r="H40" i="25" s="1"/>
  <c r="G36" i="1"/>
  <c r="F33" i="1"/>
  <c r="E21" i="1"/>
  <c r="E11" i="15" s="1"/>
  <c r="F24" i="1"/>
  <c r="D14" i="15"/>
  <c r="D13" i="15" s="1"/>
  <c r="D41" i="1"/>
  <c r="D70" i="1" s="1"/>
  <c r="F49" i="6"/>
  <c r="D110" i="25"/>
  <c r="C109" i="25"/>
  <c r="E102" i="7"/>
  <c r="D30" i="3"/>
  <c r="D80" i="25"/>
  <c r="C79" i="25"/>
  <c r="G83" i="9"/>
  <c r="G84" i="9" s="1"/>
  <c r="C153" i="25"/>
  <c r="D154" i="25"/>
  <c r="C116" i="25"/>
  <c r="D117" i="25"/>
  <c r="D9" i="15"/>
  <c r="D8" i="15" s="1"/>
  <c r="D29" i="1"/>
  <c r="D69" i="1" s="1"/>
  <c r="D103" i="25"/>
  <c r="C102" i="25"/>
  <c r="G9" i="3"/>
  <c r="F22" i="4"/>
  <c r="F73" i="7"/>
  <c r="F91" i="7" s="1"/>
  <c r="F101" i="7"/>
  <c r="E31" i="3" s="1"/>
  <c r="F99" i="7"/>
  <c r="H88" i="7"/>
  <c r="H66" i="7"/>
  <c r="H71" i="7"/>
  <c r="H53" i="6"/>
  <c r="D14" i="2"/>
  <c r="F43" i="25"/>
  <c r="E49" i="25"/>
  <c r="G40" i="1"/>
  <c r="F37" i="1"/>
  <c r="F15" i="15" s="1"/>
  <c r="C19" i="20"/>
  <c r="C19" i="18"/>
  <c r="J47" i="6"/>
  <c r="F11" i="29" s="1"/>
  <c r="J51" i="6"/>
  <c r="K13" i="6"/>
  <c r="J45" i="6"/>
  <c r="J43" i="6"/>
  <c r="G100" i="7"/>
  <c r="I49" i="6"/>
  <c r="G73" i="7"/>
  <c r="G91" i="7" s="1"/>
  <c r="C7" i="2"/>
  <c r="G7" i="6"/>
  <c r="D57" i="1"/>
  <c r="E6" i="7"/>
  <c r="E8" i="1"/>
  <c r="D47" i="11"/>
  <c r="D12" i="1"/>
  <c r="D7" i="18"/>
  <c r="D7" i="15"/>
  <c r="D32" i="1"/>
  <c r="D27" i="11"/>
  <c r="D7" i="11" s="1"/>
  <c r="D7" i="4"/>
  <c r="D7" i="3"/>
  <c r="G12" i="6"/>
  <c r="D7" i="25"/>
  <c r="D35" i="25" s="1"/>
  <c r="D45" i="1"/>
  <c r="D7" i="9"/>
  <c r="D13" i="9" s="1"/>
  <c r="A39" i="9" s="1"/>
  <c r="C7" i="29"/>
  <c r="D7" i="20"/>
  <c r="C6" i="5"/>
  <c r="F16" i="1"/>
  <c r="E13" i="1"/>
  <c r="C123" i="25"/>
  <c r="D124" i="25"/>
  <c r="H89" i="7"/>
  <c r="H100" i="7" s="1"/>
  <c r="E96" i="25"/>
  <c r="D95" i="25"/>
  <c r="D57" i="25"/>
  <c r="D19" i="20"/>
  <c r="D19" i="18"/>
  <c r="E66" i="1"/>
  <c r="E76" i="1" s="1"/>
  <c r="F60" i="1"/>
  <c r="F56" i="25"/>
  <c r="E161" i="25"/>
  <c r="D160" i="25"/>
  <c r="I59" i="7"/>
  <c r="I58" i="7"/>
  <c r="I65" i="7"/>
  <c r="I56" i="7"/>
  <c r="I55" i="7"/>
  <c r="I60" i="7"/>
  <c r="I64" i="7"/>
  <c r="I62" i="7"/>
  <c r="I63" i="7"/>
  <c r="I57" i="7"/>
  <c r="I61" i="7"/>
  <c r="F46" i="1"/>
  <c r="E54" i="1"/>
  <c r="E75" i="1" s="1"/>
  <c r="G56" i="25"/>
  <c r="H51" i="25"/>
  <c r="H56" i="25" s="1"/>
  <c r="G68" i="9"/>
  <c r="G72" i="9"/>
  <c r="G101" i="7"/>
  <c r="F31" i="3" s="1"/>
  <c r="D78" i="1"/>
  <c r="D77" i="1"/>
  <c r="F90" i="7"/>
  <c r="C57" i="25"/>
  <c r="H19" i="20"/>
  <c r="H19" i="18"/>
  <c r="G90" i="7"/>
  <c r="G94" i="7" s="1"/>
  <c r="E15" i="2" s="1"/>
  <c r="G81" i="7"/>
  <c r="G83" i="7" s="1"/>
  <c r="D87" i="25"/>
  <c r="C86" i="25"/>
  <c r="H79" i="9"/>
  <c r="H82" i="9"/>
  <c r="E14" i="2"/>
  <c r="I53" i="6"/>
  <c r="E57" i="25" l="1"/>
  <c r="F94" i="7"/>
  <c r="D15" i="2" s="1"/>
  <c r="C137" i="25"/>
  <c r="D77" i="25"/>
  <c r="E77" i="25" s="1"/>
  <c r="F77" i="25" s="1"/>
  <c r="G77" i="25" s="1"/>
  <c r="H77" i="25" s="1"/>
  <c r="C167" i="25"/>
  <c r="B8" i="2"/>
  <c r="G25" i="1"/>
  <c r="G12" i="15" s="1"/>
  <c r="H28" i="1"/>
  <c r="H25" i="1" s="1"/>
  <c r="H12" i="15" s="1"/>
  <c r="J49" i="6"/>
  <c r="D102" i="7"/>
  <c r="G102" i="7"/>
  <c r="E131" i="25"/>
  <c r="D130" i="25"/>
  <c r="C173" i="25"/>
  <c r="C180" i="25" s="1"/>
  <c r="C10" i="4" s="1"/>
  <c r="D71" i="1"/>
  <c r="D80" i="1" s="1"/>
  <c r="D72" i="1"/>
  <c r="D82" i="1" s="1"/>
  <c r="D32" i="3" s="1"/>
  <c r="D29" i="3" s="1"/>
  <c r="H81" i="7"/>
  <c r="H83" i="7" s="1"/>
  <c r="H90" i="7"/>
  <c r="J53" i="6"/>
  <c r="F14" i="2"/>
  <c r="E117" i="25"/>
  <c r="D116" i="25"/>
  <c r="E140" i="25"/>
  <c r="D139" i="25"/>
  <c r="D123" i="25"/>
  <c r="E124" i="25"/>
  <c r="H101" i="7"/>
  <c r="G31" i="3" s="1"/>
  <c r="H99" i="7"/>
  <c r="G25" i="28"/>
  <c r="F36" i="28"/>
  <c r="F54" i="28" s="1"/>
  <c r="F72" i="28"/>
  <c r="K43" i="6"/>
  <c r="K51" i="6"/>
  <c r="K45" i="6"/>
  <c r="K47" i="6"/>
  <c r="G11" i="29" s="1"/>
  <c r="E154" i="25"/>
  <c r="D153" i="25"/>
  <c r="F30" i="3"/>
  <c r="F13" i="1"/>
  <c r="G16" i="1"/>
  <c r="A87" i="25"/>
  <c r="A96" i="25" s="1"/>
  <c r="A103" i="25" s="1"/>
  <c r="A81" i="25"/>
  <c r="E80" i="25"/>
  <c r="D79" i="25"/>
  <c r="D93" i="25" s="1"/>
  <c r="F81" i="7"/>
  <c r="F83" i="7" s="1"/>
  <c r="E147" i="25"/>
  <c r="D146" i="25"/>
  <c r="G70" i="9"/>
  <c r="G71" i="9" s="1"/>
  <c r="E160" i="25"/>
  <c r="F161" i="25"/>
  <c r="F21" i="1"/>
  <c r="F11" i="15" s="1"/>
  <c r="G24" i="1"/>
  <c r="E87" i="25"/>
  <c r="D86" i="25"/>
  <c r="F54" i="1"/>
  <c r="F75" i="1" s="1"/>
  <c r="G46" i="1"/>
  <c r="C21" i="5"/>
  <c r="C10" i="5"/>
  <c r="C16" i="5"/>
  <c r="C25" i="5"/>
  <c r="H40" i="1"/>
  <c r="H37" i="1" s="1"/>
  <c r="H15" i="15" s="1"/>
  <c r="G37" i="1"/>
  <c r="G15" i="15" s="1"/>
  <c r="I88" i="7"/>
  <c r="I66" i="7"/>
  <c r="I71" i="7"/>
  <c r="D81" i="7"/>
  <c r="D83" i="7" s="1"/>
  <c r="G22" i="4"/>
  <c r="H9" i="3"/>
  <c r="C17" i="3"/>
  <c r="E95" i="25"/>
  <c r="F96" i="25"/>
  <c r="D18" i="15"/>
  <c r="D16" i="15"/>
  <c r="H73" i="7"/>
  <c r="H91" i="7" s="1"/>
  <c r="C174" i="25"/>
  <c r="C181" i="25" s="1"/>
  <c r="C12" i="4" s="1"/>
  <c r="E78" i="1"/>
  <c r="E77" i="1"/>
  <c r="E9" i="15"/>
  <c r="E8" i="15" s="1"/>
  <c r="E29" i="1"/>
  <c r="E69" i="1" s="1"/>
  <c r="E30" i="3"/>
  <c r="F102" i="7"/>
  <c r="F8" i="1"/>
  <c r="E7" i="9"/>
  <c r="E13" i="9" s="1"/>
  <c r="A52" i="9" s="1"/>
  <c r="F6" i="7"/>
  <c r="E47" i="11"/>
  <c r="E7" i="15"/>
  <c r="H12" i="6"/>
  <c r="E7" i="18"/>
  <c r="E12" i="1"/>
  <c r="E32" i="1"/>
  <c r="D6" i="5"/>
  <c r="E7" i="20"/>
  <c r="E7" i="3"/>
  <c r="E57" i="1"/>
  <c r="D7" i="29"/>
  <c r="H7" i="6"/>
  <c r="E27" i="11"/>
  <c r="E7" i="11" s="1"/>
  <c r="E45" i="1"/>
  <c r="E7" i="4"/>
  <c r="E7" i="25"/>
  <c r="E35" i="25" s="1"/>
  <c r="D7" i="2"/>
  <c r="F55" i="9"/>
  <c r="F59" i="9"/>
  <c r="E86" i="7"/>
  <c r="E97" i="7" s="1"/>
  <c r="E69" i="7"/>
  <c r="E11" i="7"/>
  <c r="E40" i="7" s="1"/>
  <c r="E54" i="7" s="1"/>
  <c r="C93" i="25"/>
  <c r="C29" i="3"/>
  <c r="C18" i="3"/>
  <c r="C12" i="3"/>
  <c r="C18" i="4" s="1"/>
  <c r="F86" i="11"/>
  <c r="F51" i="11"/>
  <c r="F52" i="11" s="1"/>
  <c r="F11" i="11"/>
  <c r="F12" i="11" s="1"/>
  <c r="F49" i="25"/>
  <c r="G43" i="25"/>
  <c r="G70" i="11"/>
  <c r="H68" i="11"/>
  <c r="C87" i="1"/>
  <c r="B17" i="2" s="1"/>
  <c r="B23" i="2" s="1"/>
  <c r="C10" i="3"/>
  <c r="H69" i="9"/>
  <c r="H66" i="9"/>
  <c r="H81" i="9"/>
  <c r="H85" i="9"/>
  <c r="F41" i="1"/>
  <c r="F70" i="1" s="1"/>
  <c r="F14" i="15"/>
  <c r="F13" i="15" s="1"/>
  <c r="F66" i="1"/>
  <c r="F76" i="1" s="1"/>
  <c r="G60" i="1"/>
  <c r="H36" i="1"/>
  <c r="H33" i="1" s="1"/>
  <c r="G33" i="1"/>
  <c r="I89" i="7"/>
  <c r="I100" i="7" s="1"/>
  <c r="I72" i="7"/>
  <c r="D102" i="25"/>
  <c r="E103" i="25"/>
  <c r="E110" i="25"/>
  <c r="D109" i="25"/>
  <c r="B8" i="29"/>
  <c r="B26" i="5"/>
  <c r="H94" i="7" l="1"/>
  <c r="F15" i="2" s="1"/>
  <c r="E130" i="25"/>
  <c r="F131" i="25"/>
  <c r="D12" i="3"/>
  <c r="D18" i="4" s="1"/>
  <c r="D18" i="3"/>
  <c r="D137" i="25"/>
  <c r="D173" i="25"/>
  <c r="D180" i="25" s="1"/>
  <c r="D10" i="4" s="1"/>
  <c r="F154" i="25"/>
  <c r="E153" i="25"/>
  <c r="F103" i="25"/>
  <c r="E102" i="25"/>
  <c r="H83" i="9"/>
  <c r="H84" i="9" s="1"/>
  <c r="E71" i="1"/>
  <c r="E80" i="1" s="1"/>
  <c r="E72" i="1"/>
  <c r="E82" i="1" s="1"/>
  <c r="F117" i="25"/>
  <c r="E116" i="25"/>
  <c r="H68" i="9"/>
  <c r="H72" i="9"/>
  <c r="E16" i="15"/>
  <c r="E18" i="15"/>
  <c r="C20" i="3"/>
  <c r="C43" i="4"/>
  <c r="K49" i="6"/>
  <c r="E146" i="25"/>
  <c r="F147" i="25"/>
  <c r="C17" i="4"/>
  <c r="C15" i="3"/>
  <c r="C172" i="25"/>
  <c r="C168" i="25"/>
  <c r="B24" i="2" s="1"/>
  <c r="C10" i="18" s="1"/>
  <c r="D172" i="25"/>
  <c r="D10" i="5"/>
  <c r="D16" i="5"/>
  <c r="D21" i="5"/>
  <c r="D25" i="5"/>
  <c r="H22" i="4"/>
  <c r="K53" i="6"/>
  <c r="G14" i="2"/>
  <c r="E109" i="25"/>
  <c r="F110" i="25"/>
  <c r="H70" i="11"/>
  <c r="I68" i="11"/>
  <c r="H46" i="1"/>
  <c r="H54" i="1" s="1"/>
  <c r="H75" i="1" s="1"/>
  <c r="G54" i="1"/>
  <c r="G75" i="1" s="1"/>
  <c r="G53" i="9"/>
  <c r="G56" i="9"/>
  <c r="I90" i="7"/>
  <c r="I94" i="7" s="1"/>
  <c r="G15" i="2" s="1"/>
  <c r="I81" i="7"/>
  <c r="I83" i="7" s="1"/>
  <c r="F80" i="25"/>
  <c r="E79" i="25"/>
  <c r="E93" i="25" s="1"/>
  <c r="C8" i="2"/>
  <c r="D84" i="1"/>
  <c r="G49" i="25"/>
  <c r="H43" i="25"/>
  <c r="H49" i="25" s="1"/>
  <c r="I73" i="7"/>
  <c r="I91" i="7" s="1"/>
  <c r="G41" i="1"/>
  <c r="G70" i="1" s="1"/>
  <c r="G14" i="15"/>
  <c r="H24" i="1"/>
  <c r="H21" i="1" s="1"/>
  <c r="H11" i="15" s="1"/>
  <c r="G21" i="1"/>
  <c r="G11" i="15" s="1"/>
  <c r="H14" i="15"/>
  <c r="H13" i="15" s="1"/>
  <c r="H41" i="1"/>
  <c r="H70" i="1" s="1"/>
  <c r="G13" i="15"/>
  <c r="A110" i="25"/>
  <c r="A117" i="25" s="1"/>
  <c r="A124" i="25" s="1"/>
  <c r="A131" i="25" s="1"/>
  <c r="A140" i="25"/>
  <c r="A147" i="25" s="1"/>
  <c r="A154" i="25" s="1"/>
  <c r="A161" i="25" s="1"/>
  <c r="F124" i="25"/>
  <c r="E123" i="25"/>
  <c r="F77" i="1"/>
  <c r="F78" i="1"/>
  <c r="G72" i="28"/>
  <c r="H25" i="28"/>
  <c r="G36" i="28"/>
  <c r="G54" i="28" s="1"/>
  <c r="G51" i="11"/>
  <c r="G52" i="11" s="1"/>
  <c r="G86" i="11"/>
  <c r="G11" i="11"/>
  <c r="G12" i="11" s="1"/>
  <c r="G30" i="3"/>
  <c r="H102" i="7"/>
  <c r="G71" i="11"/>
  <c r="H71" i="11" s="1"/>
  <c r="F57" i="9"/>
  <c r="F58" i="9" s="1"/>
  <c r="F87" i="25"/>
  <c r="E86" i="25"/>
  <c r="F57" i="25"/>
  <c r="I101" i="7"/>
  <c r="H31" i="3" s="1"/>
  <c r="I99" i="7"/>
  <c r="A88" i="25"/>
  <c r="A97" i="25" s="1"/>
  <c r="A104" i="25" s="1"/>
  <c r="A82" i="25"/>
  <c r="B12" i="29"/>
  <c r="F86" i="7"/>
  <c r="F97" i="7" s="1"/>
  <c r="F11" i="7"/>
  <c r="F40" i="7" s="1"/>
  <c r="F54" i="7" s="1"/>
  <c r="F69" i="7"/>
  <c r="H60" i="1"/>
  <c r="H66" i="1" s="1"/>
  <c r="H76" i="1" s="1"/>
  <c r="G66" i="1"/>
  <c r="G76" i="1" s="1"/>
  <c r="G13" i="1"/>
  <c r="H16" i="1"/>
  <c r="H13" i="1" s="1"/>
  <c r="F7" i="25"/>
  <c r="F35" i="25" s="1"/>
  <c r="F12" i="1"/>
  <c r="G6" i="7"/>
  <c r="I7" i="6"/>
  <c r="I12" i="6"/>
  <c r="F7" i="3"/>
  <c r="F7" i="4"/>
  <c r="F7" i="9"/>
  <c r="F13" i="9" s="1"/>
  <c r="A65" i="9" s="1"/>
  <c r="F45" i="1"/>
  <c r="E7" i="29"/>
  <c r="F7" i="15"/>
  <c r="E7" i="2"/>
  <c r="E6" i="5"/>
  <c r="F32" i="1"/>
  <c r="F27" i="11"/>
  <c r="F7" i="11" s="1"/>
  <c r="F47" i="11"/>
  <c r="G8" i="1"/>
  <c r="F7" i="18"/>
  <c r="F57" i="1"/>
  <c r="F7" i="20"/>
  <c r="D20" i="15"/>
  <c r="D17" i="3" s="1"/>
  <c r="D11" i="3"/>
  <c r="D16" i="4" s="1"/>
  <c r="C13" i="2"/>
  <c r="C10" i="29" s="1"/>
  <c r="G161" i="25"/>
  <c r="F160" i="25"/>
  <c r="F29" i="1"/>
  <c r="F69" i="1" s="1"/>
  <c r="F9" i="15"/>
  <c r="F8" i="15" s="1"/>
  <c r="D167" i="25"/>
  <c r="F95" i="25"/>
  <c r="G96" i="25"/>
  <c r="F140" i="25"/>
  <c r="E139" i="25"/>
  <c r="B13" i="29" l="1"/>
  <c r="E137" i="25"/>
  <c r="G131" i="25"/>
  <c r="F130" i="25"/>
  <c r="E173" i="25"/>
  <c r="E180" i="25" s="1"/>
  <c r="E10" i="4" s="1"/>
  <c r="F123" i="25"/>
  <c r="G124" i="25"/>
  <c r="F18" i="15"/>
  <c r="F16" i="15"/>
  <c r="F72" i="1"/>
  <c r="F82" i="1" s="1"/>
  <c r="F71" i="1"/>
  <c r="F80" i="1" s="1"/>
  <c r="E11" i="3"/>
  <c r="E16" i="4" s="1"/>
  <c r="E20" i="15"/>
  <c r="E17" i="3" s="1"/>
  <c r="D13" i="2"/>
  <c r="D10" i="29" s="1"/>
  <c r="D20" i="3"/>
  <c r="D43" i="4"/>
  <c r="A83" i="25"/>
  <c r="A89" i="25"/>
  <c r="A98" i="25" s="1"/>
  <c r="A105" i="25" s="1"/>
  <c r="H70" i="9"/>
  <c r="H71" i="9"/>
  <c r="G69" i="7"/>
  <c r="G86" i="7"/>
  <c r="G97" i="7" s="1"/>
  <c r="G11" i="7"/>
  <c r="G40" i="7" s="1"/>
  <c r="G54" i="7" s="1"/>
  <c r="H72" i="28"/>
  <c r="H36" i="28"/>
  <c r="H54" i="28" s="1"/>
  <c r="G117" i="25"/>
  <c r="F116" i="25"/>
  <c r="E32" i="3"/>
  <c r="D174" i="25"/>
  <c r="D181" i="25" s="1"/>
  <c r="D12" i="4" s="1"/>
  <c r="H29" i="1"/>
  <c r="H69" i="1" s="1"/>
  <c r="H9" i="15"/>
  <c r="H8" i="15" s="1"/>
  <c r="D168" i="25"/>
  <c r="C24" i="2" s="1"/>
  <c r="D10" i="18" s="1"/>
  <c r="E84" i="1"/>
  <c r="D8" i="2"/>
  <c r="F86" i="25"/>
  <c r="G87" i="25"/>
  <c r="G147" i="25"/>
  <c r="F146" i="25"/>
  <c r="E167" i="25"/>
  <c r="H78" i="1"/>
  <c r="H77" i="1"/>
  <c r="G7" i="15"/>
  <c r="G12" i="1"/>
  <c r="G7" i="4"/>
  <c r="F6" i="5"/>
  <c r="G57" i="1"/>
  <c r="G7" i="3"/>
  <c r="H6" i="7"/>
  <c r="G45" i="1"/>
  <c r="G47" i="11"/>
  <c r="J12" i="6"/>
  <c r="G27" i="11"/>
  <c r="G7" i="11" s="1"/>
  <c r="G7" i="20"/>
  <c r="G7" i="9"/>
  <c r="G13" i="9" s="1"/>
  <c r="A78" i="9" s="1"/>
  <c r="J7" i="6"/>
  <c r="G32" i="1"/>
  <c r="H8" i="1"/>
  <c r="G7" i="18"/>
  <c r="F7" i="29"/>
  <c r="F7" i="2"/>
  <c r="G7" i="25"/>
  <c r="G35" i="25" s="1"/>
  <c r="G9" i="15"/>
  <c r="G8" i="15" s="1"/>
  <c r="G29" i="1"/>
  <c r="G69" i="1" s="1"/>
  <c r="F109" i="25"/>
  <c r="G110" i="25"/>
  <c r="F79" i="25"/>
  <c r="G80" i="25"/>
  <c r="G160" i="25"/>
  <c r="H161" i="25"/>
  <c r="H160" i="25" s="1"/>
  <c r="G59" i="9"/>
  <c r="G55" i="9"/>
  <c r="D179" i="25"/>
  <c r="F139" i="25"/>
  <c r="G140" i="25"/>
  <c r="E172" i="25"/>
  <c r="G95" i="25"/>
  <c r="H96" i="25"/>
  <c r="H95" i="25" s="1"/>
  <c r="A111" i="25"/>
  <c r="A118" i="25" s="1"/>
  <c r="A125" i="25" s="1"/>
  <c r="A132" i="25" s="1"/>
  <c r="A141" i="25"/>
  <c r="A148" i="25" s="1"/>
  <c r="A155" i="25" s="1"/>
  <c r="A162" i="25" s="1"/>
  <c r="C175" i="25"/>
  <c r="C179" i="25"/>
  <c r="H57" i="25"/>
  <c r="G57" i="25"/>
  <c r="C22" i="3"/>
  <c r="C24" i="3" s="1"/>
  <c r="C7" i="5"/>
  <c r="C26" i="5"/>
  <c r="C8" i="29"/>
  <c r="E168" i="25"/>
  <c r="D24" i="2" s="1"/>
  <c r="E10" i="18" s="1"/>
  <c r="F102" i="25"/>
  <c r="G103" i="25"/>
  <c r="G154" i="25"/>
  <c r="F153" i="25"/>
  <c r="G77" i="1"/>
  <c r="G78" i="1"/>
  <c r="H30" i="3"/>
  <c r="I102" i="7"/>
  <c r="I70" i="11"/>
  <c r="H11" i="11"/>
  <c r="H12" i="11" s="1"/>
  <c r="I12" i="11" s="1"/>
  <c r="H51" i="11"/>
  <c r="H52" i="11" s="1"/>
  <c r="I52" i="11" s="1"/>
  <c r="H86" i="11"/>
  <c r="E25" i="5"/>
  <c r="E21" i="5"/>
  <c r="E10" i="5"/>
  <c r="E16" i="5"/>
  <c r="D10" i="3"/>
  <c r="D87" i="1"/>
  <c r="C17" i="2" s="1"/>
  <c r="C23" i="2" s="1"/>
  <c r="C15" i="4"/>
  <c r="B26" i="2"/>
  <c r="F32" i="3" l="1"/>
  <c r="F18" i="3" s="1"/>
  <c r="D175" i="25"/>
  <c r="C26" i="2"/>
  <c r="C27" i="5" s="1"/>
  <c r="F137" i="25"/>
  <c r="H131" i="25"/>
  <c r="H130" i="25" s="1"/>
  <c r="G130" i="25"/>
  <c r="F93" i="25"/>
  <c r="D9" i="20"/>
  <c r="D9" i="18"/>
  <c r="D12" i="18" s="1"/>
  <c r="F173" i="25"/>
  <c r="F180" i="25" s="1"/>
  <c r="F10" i="4" s="1"/>
  <c r="H16" i="15"/>
  <c r="H18" i="15"/>
  <c r="H103" i="25"/>
  <c r="H102" i="25" s="1"/>
  <c r="H137" i="25" s="1"/>
  <c r="G102" i="25"/>
  <c r="G137" i="25" s="1"/>
  <c r="E29" i="3"/>
  <c r="E18" i="3"/>
  <c r="E20" i="3" s="1"/>
  <c r="E12" i="3"/>
  <c r="E18" i="4" s="1"/>
  <c r="H147" i="25"/>
  <c r="H146" i="25" s="1"/>
  <c r="G146" i="25"/>
  <c r="G72" i="1"/>
  <c r="G82" i="1" s="1"/>
  <c r="G71" i="1"/>
  <c r="G80" i="1" s="1"/>
  <c r="H154" i="25"/>
  <c r="H153" i="25" s="1"/>
  <c r="G153" i="25"/>
  <c r="E43" i="4"/>
  <c r="H110" i="25"/>
  <c r="H109" i="25" s="1"/>
  <c r="G109" i="25"/>
  <c r="H117" i="25"/>
  <c r="H116" i="25" s="1"/>
  <c r="G116" i="25"/>
  <c r="C12" i="29"/>
  <c r="C13" i="29" s="1"/>
  <c r="E13" i="2"/>
  <c r="E10" i="29" s="1"/>
  <c r="F11" i="3"/>
  <c r="F16" i="4" s="1"/>
  <c r="F20" i="15"/>
  <c r="F17" i="3" s="1"/>
  <c r="E179" i="25"/>
  <c r="G123" i="25"/>
  <c r="H124" i="25"/>
  <c r="H123" i="25" s="1"/>
  <c r="I86" i="11"/>
  <c r="I11" i="11"/>
  <c r="I51" i="11"/>
  <c r="G57" i="9"/>
  <c r="G58" i="9"/>
  <c r="H53" i="9"/>
  <c r="H56" i="9"/>
  <c r="E174" i="25"/>
  <c r="E181" i="25" s="1"/>
  <c r="E12" i="4" s="1"/>
  <c r="F84" i="1"/>
  <c r="E8" i="2"/>
  <c r="H87" i="25"/>
  <c r="H86" i="25" s="1"/>
  <c r="G86" i="25"/>
  <c r="F16" i="5"/>
  <c r="F25" i="5"/>
  <c r="F10" i="5"/>
  <c r="F21" i="5"/>
  <c r="H140" i="25"/>
  <c r="H139" i="25" s="1"/>
  <c r="H167" i="25" s="1"/>
  <c r="G139" i="25"/>
  <c r="G167" i="25" s="1"/>
  <c r="E10" i="3"/>
  <c r="E87" i="1"/>
  <c r="D17" i="2" s="1"/>
  <c r="F172" i="25"/>
  <c r="D11" i="4"/>
  <c r="D9" i="4" s="1"/>
  <c r="D182" i="25"/>
  <c r="H72" i="1"/>
  <c r="H82" i="1" s="1"/>
  <c r="H71" i="1"/>
  <c r="H80" i="1" s="1"/>
  <c r="C9" i="20"/>
  <c r="C9" i="18"/>
  <c r="C12" i="18" s="1"/>
  <c r="B27" i="5"/>
  <c r="H80" i="25"/>
  <c r="H79" i="25" s="1"/>
  <c r="G79" i="25"/>
  <c r="D17" i="4"/>
  <c r="D15" i="3"/>
  <c r="D22" i="3" s="1"/>
  <c r="D24" i="3" s="1"/>
  <c r="H86" i="7"/>
  <c r="H97" i="7" s="1"/>
  <c r="H69" i="7"/>
  <c r="H11" i="7"/>
  <c r="H40" i="7" s="1"/>
  <c r="H54" i="7" s="1"/>
  <c r="G16" i="15"/>
  <c r="G18" i="15"/>
  <c r="D8" i="29"/>
  <c r="D23" i="2"/>
  <c r="D26" i="2" s="1"/>
  <c r="D7" i="5"/>
  <c r="D26" i="5"/>
  <c r="F167" i="25"/>
  <c r="F168" i="25" s="1"/>
  <c r="E24" i="2" s="1"/>
  <c r="F10" i="18" s="1"/>
  <c r="C14" i="20"/>
  <c r="C20" i="20"/>
  <c r="C14" i="18"/>
  <c r="C8" i="9"/>
  <c r="C10" i="9" s="1"/>
  <c r="H7" i="25"/>
  <c r="H35" i="25" s="1"/>
  <c r="H7" i="9"/>
  <c r="H13" i="9" s="1"/>
  <c r="A91" i="9" s="1"/>
  <c r="H7" i="3"/>
  <c r="H47" i="11"/>
  <c r="I47" i="11" s="1"/>
  <c r="H45" i="1"/>
  <c r="G7" i="29"/>
  <c r="H57" i="1"/>
  <c r="H7" i="15"/>
  <c r="K7" i="6"/>
  <c r="G7" i="2"/>
  <c r="H7" i="20"/>
  <c r="I6" i="7"/>
  <c r="K12" i="6"/>
  <c r="H32" i="1"/>
  <c r="H12" i="1"/>
  <c r="H7" i="4"/>
  <c r="G6" i="5"/>
  <c r="H7" i="18"/>
  <c r="H27" i="11"/>
  <c r="A142" i="25"/>
  <c r="A149" i="25" s="1"/>
  <c r="A156" i="25" s="1"/>
  <c r="A163" i="25" s="1"/>
  <c r="A112" i="25"/>
  <c r="A119" i="25" s="1"/>
  <c r="A126" i="25" s="1"/>
  <c r="A133" i="25" s="1"/>
  <c r="A84" i="25"/>
  <c r="A90" i="25"/>
  <c r="A99" i="25" s="1"/>
  <c r="A106" i="25" s="1"/>
  <c r="C11" i="4"/>
  <c r="C9" i="4" s="1"/>
  <c r="C23" i="4" s="1"/>
  <c r="B12" i="5" s="1"/>
  <c r="C182" i="25"/>
  <c r="H174" i="25" l="1"/>
  <c r="H181" i="25" s="1"/>
  <c r="H12" i="4" s="1"/>
  <c r="F12" i="3"/>
  <c r="F18" i="4" s="1"/>
  <c r="F29" i="3"/>
  <c r="H93" i="25"/>
  <c r="H173" i="25"/>
  <c r="H180" i="25" s="1"/>
  <c r="H10" i="4" s="1"/>
  <c r="G173" i="25"/>
  <c r="G180" i="25" s="1"/>
  <c r="G10" i="4" s="1"/>
  <c r="H55" i="9"/>
  <c r="H59" i="9"/>
  <c r="F179" i="25"/>
  <c r="A113" i="25"/>
  <c r="A120" i="25" s="1"/>
  <c r="A127" i="25" s="1"/>
  <c r="A134" i="25" s="1"/>
  <c r="A143" i="25"/>
  <c r="A150" i="25" s="1"/>
  <c r="A157" i="25" s="1"/>
  <c r="A164" i="25" s="1"/>
  <c r="A91" i="25"/>
  <c r="A100" i="25" s="1"/>
  <c r="A107" i="25" s="1"/>
  <c r="A85" i="25"/>
  <c r="A92" i="25" s="1"/>
  <c r="A101" i="25" s="1"/>
  <c r="A108" i="25" s="1"/>
  <c r="E17" i="4"/>
  <c r="E15" i="3"/>
  <c r="E22" i="3" s="1"/>
  <c r="E24" i="3" s="1"/>
  <c r="H7" i="11"/>
  <c r="I27" i="11"/>
  <c r="I7" i="11" s="1"/>
  <c r="G10" i="5"/>
  <c r="G16" i="5"/>
  <c r="G21" i="5"/>
  <c r="G25" i="5"/>
  <c r="E175" i="25"/>
  <c r="F8" i="2"/>
  <c r="G84" i="1"/>
  <c r="F43" i="4"/>
  <c r="F20" i="3"/>
  <c r="G32" i="3"/>
  <c r="C15" i="9"/>
  <c r="C18" i="9" s="1"/>
  <c r="E11" i="4"/>
  <c r="E9" i="4" s="1"/>
  <c r="E182" i="25"/>
  <c r="G174" i="25"/>
  <c r="G181" i="25" s="1"/>
  <c r="G12" i="4" s="1"/>
  <c r="F174" i="25"/>
  <c r="F181" i="25" s="1"/>
  <c r="F12" i="4" s="1"/>
  <c r="H84" i="1"/>
  <c r="G8" i="2"/>
  <c r="D14" i="9"/>
  <c r="H168" i="25"/>
  <c r="G24" i="2" s="1"/>
  <c r="H10" i="18" s="1"/>
  <c r="B13" i="5"/>
  <c r="E9" i="18"/>
  <c r="E12" i="18" s="1"/>
  <c r="E9" i="20"/>
  <c r="D12" i="29"/>
  <c r="D13" i="29" s="1"/>
  <c r="G11" i="3"/>
  <c r="G16" i="4" s="1"/>
  <c r="F13" i="2"/>
  <c r="F10" i="29" s="1"/>
  <c r="G20" i="15"/>
  <c r="G17" i="3" s="1"/>
  <c r="H20" i="15"/>
  <c r="H17" i="3" s="1"/>
  <c r="H11" i="3"/>
  <c r="H16" i="4" s="1"/>
  <c r="G13" i="2"/>
  <c r="G10" i="29" s="1"/>
  <c r="C16" i="18"/>
  <c r="C21" i="18"/>
  <c r="C14" i="9"/>
  <c r="I11" i="7"/>
  <c r="I40" i="7" s="1"/>
  <c r="I54" i="7" s="1"/>
  <c r="I69" i="7"/>
  <c r="I86" i="7"/>
  <c r="I97" i="7" s="1"/>
  <c r="D18" i="9"/>
  <c r="D14" i="18"/>
  <c r="D21" i="18" s="1"/>
  <c r="D14" i="20"/>
  <c r="D20" i="20"/>
  <c r="D8" i="9"/>
  <c r="D10" i="9" s="1"/>
  <c r="D15" i="4"/>
  <c r="H32" i="3"/>
  <c r="E26" i="5"/>
  <c r="E7" i="5"/>
  <c r="E23" i="2"/>
  <c r="E26" i="2" s="1"/>
  <c r="E8" i="29"/>
  <c r="D27" i="5"/>
  <c r="G93" i="25"/>
  <c r="F10" i="3"/>
  <c r="F87" i="1"/>
  <c r="E17" i="2" s="1"/>
  <c r="D16" i="18" l="1"/>
  <c r="D29" i="11"/>
  <c r="E27" i="5"/>
  <c r="E15" i="4"/>
  <c r="C10" i="20"/>
  <c r="C26" i="4"/>
  <c r="B79" i="11"/>
  <c r="F182" i="25"/>
  <c r="F11" i="4"/>
  <c r="F9" i="4" s="1"/>
  <c r="C27" i="9"/>
  <c r="B78" i="11"/>
  <c r="C12" i="20"/>
  <c r="H10" i="3"/>
  <c r="H87" i="1"/>
  <c r="G17" i="2" s="1"/>
  <c r="G23" i="2" s="1"/>
  <c r="G26" i="2" s="1"/>
  <c r="E12" i="29"/>
  <c r="E13" i="29" s="1"/>
  <c r="F9" i="20"/>
  <c r="F9" i="18"/>
  <c r="F12" i="18" s="1"/>
  <c r="H29" i="3"/>
  <c r="H18" i="3"/>
  <c r="H20" i="3" s="1"/>
  <c r="H12" i="3"/>
  <c r="H18" i="4" s="1"/>
  <c r="D23" i="4"/>
  <c r="A144" i="25"/>
  <c r="A151" i="25" s="1"/>
  <c r="A158" i="25" s="1"/>
  <c r="A165" i="25" s="1"/>
  <c r="A114" i="25"/>
  <c r="A121" i="25" s="1"/>
  <c r="A128" i="25" s="1"/>
  <c r="A135" i="25" s="1"/>
  <c r="F175" i="25"/>
  <c r="H57" i="9"/>
  <c r="H58" i="9" s="1"/>
  <c r="E14" i="9"/>
  <c r="E20" i="9" s="1"/>
  <c r="A115" i="25"/>
  <c r="A122" i="25" s="1"/>
  <c r="A129" i="25" s="1"/>
  <c r="A136" i="25" s="1"/>
  <c r="A145" i="25"/>
  <c r="A152" i="25" s="1"/>
  <c r="A159" i="25" s="1"/>
  <c r="A166" i="25" s="1"/>
  <c r="C23" i="18"/>
  <c r="C29" i="11"/>
  <c r="D23" i="18"/>
  <c r="H43" i="4"/>
  <c r="F7" i="5"/>
  <c r="F8" i="29"/>
  <c r="F26" i="5"/>
  <c r="E14" i="18"/>
  <c r="E21" i="18" s="1"/>
  <c r="E20" i="20"/>
  <c r="E14" i="20"/>
  <c r="E17" i="20" s="1"/>
  <c r="E8" i="9"/>
  <c r="E10" i="9" s="1"/>
  <c r="C20" i="9"/>
  <c r="G29" i="3"/>
  <c r="G12" i="3"/>
  <c r="G18" i="4" s="1"/>
  <c r="G18" i="3"/>
  <c r="G20" i="3" s="1"/>
  <c r="G10" i="3"/>
  <c r="G87" i="1"/>
  <c r="F17" i="2" s="1"/>
  <c r="F23" i="2" s="1"/>
  <c r="F26" i="2" s="1"/>
  <c r="G43" i="4"/>
  <c r="F17" i="4"/>
  <c r="F15" i="3"/>
  <c r="F22" i="3" s="1"/>
  <c r="F24" i="3" s="1"/>
  <c r="D40" i="9"/>
  <c r="D12" i="20"/>
  <c r="D17" i="20" s="1"/>
  <c r="D20" i="9"/>
  <c r="G168" i="25"/>
  <c r="F24" i="2" s="1"/>
  <c r="G10" i="18" s="1"/>
  <c r="H172" i="25"/>
  <c r="G172" i="25"/>
  <c r="G8" i="29"/>
  <c r="G26" i="5"/>
  <c r="G7" i="5"/>
  <c r="B80" i="11" l="1"/>
  <c r="G9" i="18"/>
  <c r="G12" i="18" s="1"/>
  <c r="G9" i="20"/>
  <c r="H9" i="18"/>
  <c r="H12" i="18" s="1"/>
  <c r="H9" i="20"/>
  <c r="E29" i="11"/>
  <c r="E23" i="18"/>
  <c r="H17" i="4"/>
  <c r="H15" i="3"/>
  <c r="H22" i="3" s="1"/>
  <c r="D42" i="9"/>
  <c r="D46" i="9"/>
  <c r="E16" i="18"/>
  <c r="D26" i="4"/>
  <c r="E23" i="4"/>
  <c r="C13" i="5"/>
  <c r="C12" i="5"/>
  <c r="C29" i="9"/>
  <c r="C33" i="9"/>
  <c r="D30" i="9"/>
  <c r="D104" i="9" s="1"/>
  <c r="D23" i="20" s="1"/>
  <c r="F20" i="20"/>
  <c r="F14" i="20"/>
  <c r="F17" i="20" s="1"/>
  <c r="F8" i="9"/>
  <c r="F10" i="9" s="1"/>
  <c r="F14" i="18"/>
  <c r="F21" i="18" s="1"/>
  <c r="F15" i="4"/>
  <c r="C17" i="20"/>
  <c r="G17" i="4"/>
  <c r="G15" i="3"/>
  <c r="G22" i="3" s="1"/>
  <c r="G24" i="3" s="1"/>
  <c r="G12" i="29"/>
  <c r="G13" i="29" s="1"/>
  <c r="G175" i="25"/>
  <c r="G179" i="25"/>
  <c r="H175" i="25"/>
  <c r="H179" i="25"/>
  <c r="C34" i="11"/>
  <c r="C9" i="11"/>
  <c r="F27" i="5"/>
  <c r="F12" i="29"/>
  <c r="F13" i="29" s="1"/>
  <c r="F14" i="9"/>
  <c r="F20" i="9" s="1"/>
  <c r="G27" i="5"/>
  <c r="D9" i="11"/>
  <c r="D14" i="11" s="1"/>
  <c r="L9" i="11" s="1"/>
  <c r="F16" i="18" l="1"/>
  <c r="F29" i="11"/>
  <c r="F23" i="18"/>
  <c r="G14" i="18"/>
  <c r="G16" i="18" s="1"/>
  <c r="G20" i="20"/>
  <c r="G14" i="20"/>
  <c r="G17" i="20" s="1"/>
  <c r="G8" i="9"/>
  <c r="G10" i="9" s="1"/>
  <c r="E43" i="9"/>
  <c r="E40" i="9"/>
  <c r="H14" i="9"/>
  <c r="H20" i="9" s="1"/>
  <c r="F23" i="4"/>
  <c r="E26" i="4"/>
  <c r="C14" i="11"/>
  <c r="H24" i="3"/>
  <c r="H15" i="4"/>
  <c r="G11" i="4"/>
  <c r="G9" i="4" s="1"/>
  <c r="G182" i="25"/>
  <c r="C31" i="9"/>
  <c r="C103" i="9" s="1"/>
  <c r="B28" i="2" s="1"/>
  <c r="C32" i="9"/>
  <c r="G15" i="4"/>
  <c r="E9" i="11"/>
  <c r="E14" i="11" s="1"/>
  <c r="L10" i="11" s="1"/>
  <c r="D13" i="5"/>
  <c r="D12" i="5"/>
  <c r="C36" i="11"/>
  <c r="L28" i="11"/>
  <c r="M28" i="11" s="1"/>
  <c r="D44" i="9"/>
  <c r="D45" i="9" s="1"/>
  <c r="H182" i="25"/>
  <c r="H11" i="4"/>
  <c r="H9" i="4" s="1"/>
  <c r="D27" i="9"/>
  <c r="C101" i="9"/>
  <c r="C39" i="4" s="1"/>
  <c r="G14" i="9"/>
  <c r="G20" i="9" s="1"/>
  <c r="G21" i="18" l="1"/>
  <c r="G23" i="18" s="1"/>
  <c r="C24" i="20"/>
  <c r="C26" i="20" s="1"/>
  <c r="C27" i="20" s="1"/>
  <c r="C28" i="20" s="1"/>
  <c r="B29" i="2"/>
  <c r="B19" i="5"/>
  <c r="C49" i="11"/>
  <c r="E42" i="9"/>
  <c r="E46" i="9"/>
  <c r="C16" i="11"/>
  <c r="D16" i="11" s="1"/>
  <c r="E16" i="11" s="1"/>
  <c r="L8" i="11"/>
  <c r="M8" i="11" s="1"/>
  <c r="D29" i="9"/>
  <c r="D33" i="9"/>
  <c r="F26" i="4"/>
  <c r="H23" i="4"/>
  <c r="H14" i="18"/>
  <c r="H14" i="20"/>
  <c r="H17" i="20" s="1"/>
  <c r="H20" i="20"/>
  <c r="H8" i="9"/>
  <c r="H10" i="9" s="1"/>
  <c r="G23" i="4"/>
  <c r="N28" i="11"/>
  <c r="C37" i="4"/>
  <c r="C78" i="11"/>
  <c r="N20" i="11"/>
  <c r="I9" i="11" s="1"/>
  <c r="I14" i="11" s="1"/>
  <c r="N39" i="11"/>
  <c r="I29" i="11" s="1"/>
  <c r="E13" i="5"/>
  <c r="E12" i="5"/>
  <c r="F9" i="11"/>
  <c r="G29" i="11" l="1"/>
  <c r="G9" i="11" s="1"/>
  <c r="G14" i="11" s="1"/>
  <c r="L12" i="11" s="1"/>
  <c r="G26" i="4"/>
  <c r="E30" i="9"/>
  <c r="E104" i="9" s="1"/>
  <c r="E23" i="20" s="1"/>
  <c r="E27" i="9"/>
  <c r="D101" i="9"/>
  <c r="D39" i="4" s="1"/>
  <c r="D31" i="9"/>
  <c r="D32" i="9" s="1"/>
  <c r="N8" i="11"/>
  <c r="M9" i="11"/>
  <c r="F40" i="9"/>
  <c r="F43" i="9"/>
  <c r="F14" i="11"/>
  <c r="L11" i="11" s="1"/>
  <c r="C54" i="11"/>
  <c r="E44" i="9"/>
  <c r="E45" i="9" s="1"/>
  <c r="G13" i="5"/>
  <c r="G12" i="5"/>
  <c r="F13" i="5"/>
  <c r="F12" i="5"/>
  <c r="B30" i="2"/>
  <c r="B31" i="2" s="1"/>
  <c r="B28" i="5"/>
  <c r="H21" i="18"/>
  <c r="H16" i="18"/>
  <c r="C30" i="20"/>
  <c r="D103" i="9" l="1"/>
  <c r="C28" i="2" s="1"/>
  <c r="C19" i="5" s="1"/>
  <c r="F16" i="11"/>
  <c r="G16" i="11" s="1"/>
  <c r="M10" i="11"/>
  <c r="N9" i="11"/>
  <c r="D78" i="11"/>
  <c r="D37" i="4"/>
  <c r="E29" i="9"/>
  <c r="E33" i="9"/>
  <c r="H29" i="11"/>
  <c r="H23" i="18"/>
  <c r="C32" i="4"/>
  <c r="C32" i="2"/>
  <c r="B8" i="5"/>
  <c r="B11" i="5"/>
  <c r="D21" i="20"/>
  <c r="C44" i="4"/>
  <c r="C42" i="4" s="1"/>
  <c r="D24" i="20"/>
  <c r="H26" i="4"/>
  <c r="C56" i="11"/>
  <c r="L48" i="11"/>
  <c r="M48" i="11" s="1"/>
  <c r="F42" i="9"/>
  <c r="F46" i="9"/>
  <c r="C29" i="2" l="1"/>
  <c r="D49" i="11"/>
  <c r="D54" i="11" s="1"/>
  <c r="C30" i="2"/>
  <c r="C31" i="2" s="1"/>
  <c r="C28" i="5"/>
  <c r="F27" i="9"/>
  <c r="E101" i="9"/>
  <c r="E39" i="4" s="1"/>
  <c r="F30" i="9"/>
  <c r="F104" i="9" s="1"/>
  <c r="F23" i="20" s="1"/>
  <c r="E31" i="9"/>
  <c r="E103" i="9" s="1"/>
  <c r="D28" i="2" s="1"/>
  <c r="N48" i="11"/>
  <c r="D29" i="4"/>
  <c r="C33" i="4"/>
  <c r="H9" i="11"/>
  <c r="C40" i="11"/>
  <c r="G43" i="9"/>
  <c r="G40" i="9"/>
  <c r="C49" i="4"/>
  <c r="B23" i="5"/>
  <c r="B22" i="5"/>
  <c r="F44" i="9"/>
  <c r="F45" i="9" s="1"/>
  <c r="D26" i="20"/>
  <c r="D27" i="20" s="1"/>
  <c r="D28" i="20" s="1"/>
  <c r="M11" i="11"/>
  <c r="N10" i="11"/>
  <c r="E32" i="9" l="1"/>
  <c r="E78" i="11"/>
  <c r="E37" i="4"/>
  <c r="C51" i="4"/>
  <c r="C53" i="4" s="1"/>
  <c r="B18" i="5"/>
  <c r="F29" i="9"/>
  <c r="F33" i="9"/>
  <c r="G42" i="9"/>
  <c r="G46" i="9"/>
  <c r="C11" i="5"/>
  <c r="C8" i="5"/>
  <c r="D32" i="4"/>
  <c r="E29" i="4" s="1"/>
  <c r="D32" i="2"/>
  <c r="D30" i="20"/>
  <c r="E24" i="20"/>
  <c r="D19" i="5"/>
  <c r="D29" i="2"/>
  <c r="E49" i="11"/>
  <c r="E21" i="20"/>
  <c r="D44" i="4"/>
  <c r="D42" i="4" s="1"/>
  <c r="M12" i="11"/>
  <c r="N11" i="11"/>
  <c r="B17" i="5"/>
  <c r="C79" i="11"/>
  <c r="B14" i="5"/>
  <c r="N18" i="11"/>
  <c r="H14" i="11"/>
  <c r="C20" i="11"/>
  <c r="L49" i="11"/>
  <c r="M49" i="11" s="1"/>
  <c r="D56" i="11"/>
  <c r="D33" i="4" l="1"/>
  <c r="C14" i="5" s="1"/>
  <c r="E26" i="20"/>
  <c r="E27" i="20" s="1"/>
  <c r="E28" i="20" s="1"/>
  <c r="E30" i="20" s="1"/>
  <c r="L13" i="11"/>
  <c r="H16" i="11"/>
  <c r="C80" i="11"/>
  <c r="C81" i="11" s="1"/>
  <c r="C91" i="11"/>
  <c r="C93" i="11" s="1"/>
  <c r="N12" i="11"/>
  <c r="M13" i="11"/>
  <c r="N13" i="11" s="1"/>
  <c r="C22" i="11" s="1"/>
  <c r="H43" i="9"/>
  <c r="H40" i="9"/>
  <c r="D49" i="4"/>
  <c r="C23" i="5"/>
  <c r="C22" i="5"/>
  <c r="G44" i="9"/>
  <c r="G45" i="9" s="1"/>
  <c r="G27" i="9"/>
  <c r="F101" i="9"/>
  <c r="F39" i="4" s="1"/>
  <c r="G30" i="9"/>
  <c r="G104" i="9" s="1"/>
  <c r="G23" i="20" s="1"/>
  <c r="E54" i="11"/>
  <c r="F31" i="9"/>
  <c r="F32" i="9" s="1"/>
  <c r="D30" i="2"/>
  <c r="D31" i="2" s="1"/>
  <c r="D28" i="5"/>
  <c r="N49" i="11"/>
  <c r="F103" i="9" l="1"/>
  <c r="E28" i="2" s="1"/>
  <c r="F24" i="20" s="1"/>
  <c r="D79" i="11"/>
  <c r="D80" i="11" s="1"/>
  <c r="D81" i="11" s="1"/>
  <c r="C17" i="5"/>
  <c r="D51" i="4"/>
  <c r="D53" i="4" s="1"/>
  <c r="D54" i="4" s="1"/>
  <c r="C18" i="5"/>
  <c r="H42" i="9"/>
  <c r="H46" i="9"/>
  <c r="E32" i="2"/>
  <c r="D11" i="5"/>
  <c r="E32" i="4"/>
  <c r="D8" i="5"/>
  <c r="F21" i="20"/>
  <c r="E44" i="4"/>
  <c r="E42" i="4" s="1"/>
  <c r="L50" i="11"/>
  <c r="M50" i="11" s="1"/>
  <c r="E56" i="11"/>
  <c r="C82" i="11"/>
  <c r="C88" i="11" s="1"/>
  <c r="C31" i="11" s="1"/>
  <c r="F37" i="4"/>
  <c r="F78" i="11"/>
  <c r="G33" i="9"/>
  <c r="G29" i="9"/>
  <c r="F26" i="20" l="1"/>
  <c r="F27" i="20" s="1"/>
  <c r="F28" i="20" s="1"/>
  <c r="F30" i="20" s="1"/>
  <c r="F49" i="11"/>
  <c r="F54" i="11" s="1"/>
  <c r="E29" i="2"/>
  <c r="E30" i="2" s="1"/>
  <c r="E31" i="2" s="1"/>
  <c r="E19" i="5"/>
  <c r="C94" i="11"/>
  <c r="D91" i="11"/>
  <c r="D93" i="11" s="1"/>
  <c r="D82" i="11"/>
  <c r="D88" i="11" s="1"/>
  <c r="D31" i="11" s="1"/>
  <c r="D32" i="11" s="1"/>
  <c r="G31" i="9"/>
  <c r="G32" i="9" s="1"/>
  <c r="H27" i="9"/>
  <c r="G101" i="9"/>
  <c r="G39" i="4" s="1"/>
  <c r="H30" i="9"/>
  <c r="H104" i="9" s="1"/>
  <c r="H23" i="20" s="1"/>
  <c r="H44" i="9"/>
  <c r="H45" i="9" s="1"/>
  <c r="E49" i="4"/>
  <c r="D23" i="5"/>
  <c r="D22" i="5"/>
  <c r="F29" i="4"/>
  <c r="E33" i="4"/>
  <c r="N50" i="11"/>
  <c r="E28" i="5" l="1"/>
  <c r="E51" i="4"/>
  <c r="E53" i="4" s="1"/>
  <c r="E54" i="4" s="1"/>
  <c r="D18" i="5"/>
  <c r="L51" i="11"/>
  <c r="M51" i="11" s="1"/>
  <c r="F56" i="11"/>
  <c r="F32" i="2"/>
  <c r="E8" i="5"/>
  <c r="E11" i="5"/>
  <c r="F32" i="4"/>
  <c r="G29" i="4" s="1"/>
  <c r="G78" i="11"/>
  <c r="G37" i="4"/>
  <c r="G21" i="20"/>
  <c r="F44" i="4"/>
  <c r="F42" i="4" s="1"/>
  <c r="H33" i="9"/>
  <c r="H101" i="9" s="1"/>
  <c r="H39" i="4" s="1"/>
  <c r="H29" i="9"/>
  <c r="G103" i="9"/>
  <c r="F28" i="2" s="1"/>
  <c r="E79" i="11"/>
  <c r="D17" i="5"/>
  <c r="D14" i="5"/>
  <c r="D34" i="11"/>
  <c r="D94" i="11"/>
  <c r="L29" i="11" l="1"/>
  <c r="M29" i="11" s="1"/>
  <c r="D36" i="11"/>
  <c r="F33" i="4"/>
  <c r="E91" i="11"/>
  <c r="E93" i="11" s="1"/>
  <c r="E80" i="11"/>
  <c r="E81" i="11" s="1"/>
  <c r="G24" i="20"/>
  <c r="G26" i="20" s="1"/>
  <c r="G27" i="20" s="1"/>
  <c r="G28" i="20" s="1"/>
  <c r="F29" i="2"/>
  <c r="F19" i="5"/>
  <c r="G49" i="11"/>
  <c r="H31" i="9"/>
  <c r="H103" i="9" s="1"/>
  <c r="G28" i="2" s="1"/>
  <c r="H37" i="4"/>
  <c r="H78" i="11"/>
  <c r="N51" i="11"/>
  <c r="F49" i="4"/>
  <c r="E23" i="5"/>
  <c r="E22" i="5"/>
  <c r="H24" i="20" l="1"/>
  <c r="G29" i="2"/>
  <c r="G19" i="5"/>
  <c r="H49" i="11"/>
  <c r="G30" i="20"/>
  <c r="F51" i="4"/>
  <c r="F53" i="4" s="1"/>
  <c r="F54" i="4" s="1"/>
  <c r="E18" i="5"/>
  <c r="E82" i="11"/>
  <c r="E88" i="11" s="1"/>
  <c r="E31" i="11" s="1"/>
  <c r="E32" i="11" s="1"/>
  <c r="E17" i="5"/>
  <c r="F79" i="11"/>
  <c r="E14" i="5"/>
  <c r="F30" i="2"/>
  <c r="F28" i="5"/>
  <c r="N29" i="11"/>
  <c r="H32" i="9"/>
  <c r="G54" i="11"/>
  <c r="H21" i="20" l="1"/>
  <c r="H26" i="20" s="1"/>
  <c r="H27" i="20" s="1"/>
  <c r="H28" i="20" s="1"/>
  <c r="H30" i="20" s="1"/>
  <c r="G44" i="4"/>
  <c r="G42" i="4" s="1"/>
  <c r="F80" i="11"/>
  <c r="F81" i="11" s="1"/>
  <c r="F91" i="11"/>
  <c r="F93" i="11" s="1"/>
  <c r="L52" i="11"/>
  <c r="M52" i="11" s="1"/>
  <c r="G56" i="11"/>
  <c r="E94" i="11"/>
  <c r="F31" i="2"/>
  <c r="E34" i="11"/>
  <c r="N58" i="11"/>
  <c r="H54" i="11"/>
  <c r="L53" i="11" s="1"/>
  <c r="G28" i="5"/>
  <c r="L30" i="11" l="1"/>
  <c r="M30" i="11" s="1"/>
  <c r="E36" i="11"/>
  <c r="G32" i="4"/>
  <c r="F11" i="5"/>
  <c r="F8" i="5"/>
  <c r="G32" i="2"/>
  <c r="G30" i="2" s="1"/>
  <c r="N30" i="11"/>
  <c r="H56" i="11"/>
  <c r="N52" i="11"/>
  <c r="M53" i="11"/>
  <c r="N53" i="11" s="1"/>
  <c r="C62" i="11" s="1"/>
  <c r="F82" i="11"/>
  <c r="F88" i="11" s="1"/>
  <c r="F31" i="11" s="1"/>
  <c r="F32" i="11" s="1"/>
  <c r="G49" i="4"/>
  <c r="F23" i="5"/>
  <c r="F22" i="5"/>
  <c r="F18" i="5" l="1"/>
  <c r="H44" i="4"/>
  <c r="H42" i="4" s="1"/>
  <c r="G31" i="2"/>
  <c r="H29" i="4"/>
  <c r="G33" i="4"/>
  <c r="F34" i="11"/>
  <c r="F94" i="11"/>
  <c r="L31" i="11" l="1"/>
  <c r="M31" i="11" s="1"/>
  <c r="N31" i="11" s="1"/>
  <c r="F36" i="11"/>
  <c r="F17" i="5"/>
  <c r="G79" i="11"/>
  <c r="F14" i="5"/>
  <c r="G11" i="5"/>
  <c r="H32" i="4"/>
  <c r="H33" i="4" s="1"/>
  <c r="G8" i="5"/>
  <c r="H49" i="4"/>
  <c r="G23" i="5"/>
  <c r="G22" i="5"/>
  <c r="G51" i="4"/>
  <c r="G53" i="4" s="1"/>
  <c r="G54" i="4" s="1"/>
  <c r="H51" i="4" l="1"/>
  <c r="H53" i="4" s="1"/>
  <c r="H54" i="4" s="1"/>
  <c r="G18" i="5"/>
  <c r="G17" i="5"/>
  <c r="H79" i="11"/>
  <c r="N60" i="11"/>
  <c r="I49" i="11" s="1"/>
  <c r="G14" i="5"/>
  <c r="G80" i="11"/>
  <c r="G81" i="11" s="1"/>
  <c r="G91" i="11"/>
  <c r="G93" i="11" s="1"/>
  <c r="I54" i="11" l="1"/>
  <c r="I56" i="11" s="1"/>
  <c r="C58" i="11" s="1"/>
  <c r="C60" i="11"/>
  <c r="G82" i="11"/>
  <c r="G88" i="11" s="1"/>
  <c r="G31" i="11" s="1"/>
  <c r="G32" i="11" s="1"/>
  <c r="H80" i="11"/>
  <c r="H81" i="11" s="1"/>
  <c r="H91" i="11"/>
  <c r="H93" i="11" s="1"/>
  <c r="G34" i="11" l="1"/>
  <c r="G94" i="11"/>
  <c r="H82" i="11"/>
  <c r="H88" i="11" s="1"/>
  <c r="L32" i="11" l="1"/>
  <c r="M32" i="11" s="1"/>
  <c r="N32" i="11" s="1"/>
  <c r="G36" i="11"/>
  <c r="I88" i="11"/>
  <c r="H31" i="11"/>
  <c r="H94" i="11"/>
  <c r="I31" i="11" l="1"/>
  <c r="N37" i="11" s="1"/>
  <c r="H32" i="11"/>
  <c r="I32" i="11" l="1"/>
  <c r="I34" i="11" s="1"/>
  <c r="H34" i="11"/>
  <c r="L33" i="11" s="1"/>
  <c r="M33" i="11" s="1"/>
  <c r="N33" i="11" s="1"/>
  <c r="C42" i="11" s="1"/>
  <c r="H36" i="11" l="1"/>
</calcChain>
</file>

<file path=xl/sharedStrings.xml><?xml version="1.0" encoding="utf-8"?>
<sst xmlns="http://schemas.openxmlformats.org/spreadsheetml/2006/main" count="725" uniqueCount="507">
  <si>
    <t>CF</t>
  </si>
  <si>
    <t>CF Acum</t>
  </si>
  <si>
    <t xml:space="preserve">Preço Unitário </t>
  </si>
  <si>
    <t>Anos</t>
  </si>
  <si>
    <t>Pressupostos Gerais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</si>
  <si>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</si>
  <si>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</si>
  <si>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</si>
  <si>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</si>
  <si>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</si>
  <si>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</si>
  <si>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</si>
  <si>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</si>
  <si>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</si>
  <si>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</si>
  <si>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</si>
  <si>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</si>
  <si>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</si>
  <si>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</si>
  <si>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</si>
  <si>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</si>
  <si>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</si>
  <si>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</si>
  <si>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</si>
  <si>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</si>
  <si>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</si>
  <si>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</si>
  <si>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Comunicação</t>
  </si>
  <si>
    <t>Seguros</t>
  </si>
  <si>
    <t>Honorários</t>
  </si>
  <si>
    <t xml:space="preserve">Formação </t>
  </si>
  <si>
    <t>TOTAL</t>
  </si>
  <si>
    <t>Proveitos Financeiros</t>
  </si>
  <si>
    <t>Clientes</t>
  </si>
  <si>
    <t>Estado</t>
  </si>
  <si>
    <t>PASSIVO</t>
  </si>
  <si>
    <t>TOTAL PASSIVO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</si>
  <si>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</si>
  <si>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</si>
  <si>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</si>
  <si>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</si>
  <si>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</si>
  <si>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</si>
  <si>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</si>
  <si>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</si>
  <si>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</si>
  <si>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</si>
  <si>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</si>
  <si>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</si>
  <si>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</si>
  <si>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</si>
  <si>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</si>
  <si>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</si>
  <si>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Valor Mensal</t>
  </si>
  <si>
    <t>Segurança Social</t>
  </si>
  <si>
    <t>QUADRO RESUMO</t>
  </si>
  <si>
    <t>Necessidades Fundo Maneio</t>
  </si>
  <si>
    <t>Recursos Fundo Maneio</t>
  </si>
  <si>
    <t>Investimento em Fundo de Maneio</t>
  </si>
  <si>
    <t xml:space="preserve">   Fundo de Maneio</t>
  </si>
  <si>
    <t xml:space="preserve">   Capital Fixo</t>
  </si>
  <si>
    <t>Taxa de IRC</t>
  </si>
  <si>
    <t>CASH FLOW de Exploração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</si>
  <si>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</si>
  <si>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</si>
  <si>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</si>
  <si>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</si>
  <si>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</si>
  <si>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</si>
  <si>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</si>
  <si>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</si>
  <si>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</si>
  <si>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</si>
  <si>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</si>
  <si>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</si>
  <si>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</si>
  <si>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</si>
  <si>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Meios Libertos</t>
  </si>
  <si>
    <t>Saldo de Tesouraria Acumulado</t>
  </si>
  <si>
    <t>Soma Controlo</t>
  </si>
  <si>
    <t>Reembolso</t>
  </si>
  <si>
    <t>Taxa de Crescimento do Negócio</t>
  </si>
  <si>
    <t>INDICADORES ECONÓMICOS</t>
  </si>
  <si>
    <t>INDICADORES FINANCEIROS</t>
  </si>
  <si>
    <t>INDICADORES DE LIQUIDEZ</t>
  </si>
  <si>
    <t>Return On Investment (ROI)</t>
  </si>
  <si>
    <t>Rendibilidade dos Capitais Próprios (ROE)</t>
  </si>
  <si>
    <t>Free Cash Flow to Firm</t>
  </si>
  <si>
    <t>Passos para preenchimento:</t>
  </si>
  <si>
    <t>Principais regras de utilização:</t>
  </si>
  <si>
    <t>Tx IVA</t>
  </si>
  <si>
    <t>Produto C *</t>
  </si>
  <si>
    <t>Produto D *</t>
  </si>
  <si>
    <t>IVA VENDAS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</si>
  <si>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</si>
  <si>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</si>
  <si>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</si>
  <si>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</si>
  <si>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</si>
  <si>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</si>
  <si>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</si>
  <si>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</si>
  <si>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</si>
  <si>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</si>
  <si>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</si>
  <si>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</si>
  <si>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</si>
  <si>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Empréstimos Obtidos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</si>
  <si>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</si>
  <si>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</si>
  <si>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</si>
  <si>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</si>
  <si>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</si>
  <si>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</si>
  <si>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</si>
  <si>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</si>
  <si>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Regras de utilização</t>
  </si>
  <si>
    <t>Fundo Maneio Necessário</t>
  </si>
  <si>
    <t>* A considerar caso seja necessário</t>
  </si>
  <si>
    <t>CAPITAL PRÓPRIO</t>
  </si>
  <si>
    <t>TOTAL PASSIVO + CAPITAIS PRÓPRIOS</t>
  </si>
  <si>
    <t>Grau de Alavanca Operacional</t>
  </si>
  <si>
    <t>Capital Próprio</t>
  </si>
  <si>
    <t>Euros</t>
  </si>
  <si>
    <t>MERCADO NACIONAL</t>
  </si>
  <si>
    <t>MERCADO EXTERNO</t>
  </si>
  <si>
    <t>Qualidade</t>
  </si>
  <si>
    <t>Manutenção</t>
  </si>
  <si>
    <t>Aprovisionamento</t>
  </si>
  <si>
    <t>Outros</t>
  </si>
  <si>
    <t>Total Investimento</t>
  </si>
  <si>
    <t>Taxa de Aplicações Financeiras Curto Prazo</t>
  </si>
  <si>
    <t>Taxa de IVA - Investimento</t>
  </si>
  <si>
    <t>% Capital Próprio</t>
  </si>
  <si>
    <t>Passivo Remunerado</t>
  </si>
  <si>
    <t>ESTADO</t>
  </si>
  <si>
    <t>SS</t>
  </si>
  <si>
    <t>IRS</t>
  </si>
  <si>
    <t>Propriedades de investimento</t>
  </si>
  <si>
    <t>Edificios e Outras construções</t>
  </si>
  <si>
    <t>Outras propriedades de investimento</t>
  </si>
  <si>
    <t>Activos fixos tangíveis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</si>
  <si>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</si>
  <si>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</si>
  <si>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</si>
  <si>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</si>
  <si>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</si>
  <si>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</si>
  <si>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</si>
  <si>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RESULTADO LÍQUIDO DO PERÍODO</t>
  </si>
  <si>
    <t>Subsídios à Exploração</t>
  </si>
  <si>
    <t>EBIT (Resultado Operacional)</t>
  </si>
  <si>
    <t>RESULTADO ANTES DE IMPOSTOS</t>
  </si>
  <si>
    <t>Capital realizado</t>
  </si>
  <si>
    <t>TOTAL DO CAPITAL PRÓPRIO</t>
  </si>
  <si>
    <t>Provisões</t>
  </si>
  <si>
    <t>Activos Intangíveis</t>
  </si>
  <si>
    <t>Inventários</t>
  </si>
  <si>
    <t>Diferimentos</t>
  </si>
  <si>
    <t>Goodwill</t>
  </si>
  <si>
    <t>Projectos de desenvolvimento</t>
  </si>
  <si>
    <t>Programas de computador</t>
  </si>
  <si>
    <t>Propriedade industrial</t>
  </si>
  <si>
    <t>Outros activos intangíveis</t>
  </si>
  <si>
    <t>Materiais</t>
  </si>
  <si>
    <t>Combustíveis</t>
  </si>
  <si>
    <t>Água</t>
  </si>
  <si>
    <t>Deslocações e Estadas</t>
  </si>
  <si>
    <t>Remunerações</t>
  </si>
  <si>
    <t>Órgãos Sociais</t>
  </si>
  <si>
    <t>Outros Gastos</t>
  </si>
  <si>
    <t>TOTAL OUTROS GASTOS</t>
  </si>
  <si>
    <t>TOTAL GASTOS COM PESSOAL</t>
  </si>
  <si>
    <t xml:space="preserve">Total </t>
  </si>
  <si>
    <t xml:space="preserve">Capital </t>
  </si>
  <si>
    <t>Depreciações e amortizações</t>
  </si>
  <si>
    <t>Edificios e Outras Construções</t>
  </si>
  <si>
    <t>Comissões &amp; Prémios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</si>
  <si>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</si>
  <si>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</si>
  <si>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</si>
  <si>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</si>
  <si>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</si>
  <si>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 xml:space="preserve">Valores Acumulados </t>
  </si>
  <si>
    <t>Valores Balanço</t>
  </si>
  <si>
    <t>Reservas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</si>
  <si>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</si>
  <si>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</si>
  <si>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</si>
  <si>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</si>
  <si>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</si>
  <si>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</si>
  <si>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</si>
  <si>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</si>
  <si>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</si>
  <si>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</si>
  <si>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</si>
  <si>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</si>
  <si>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Valor do consumo 2*</t>
  </si>
  <si>
    <t>Liquidez Corrente</t>
  </si>
  <si>
    <t>Grau de Alavanca Financeira</t>
  </si>
  <si>
    <t>NOTA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</si>
  <si>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</si>
  <si>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</si>
  <si>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</si>
  <si>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</si>
  <si>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</si>
  <si>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</si>
  <si>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</si>
  <si>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Valor Residual ano N</t>
  </si>
  <si>
    <t>ou</t>
  </si>
  <si>
    <t>-</t>
  </si>
  <si>
    <t xml:space="preserve"> = ano em que inicia o investimento e poderá ou não haver exploração</t>
  </si>
  <si>
    <t>Em função do tipo de produtos e serviços</t>
  </si>
  <si>
    <t>Em vigor no ano base</t>
  </si>
  <si>
    <t xml:space="preserve"> ' + 1. ou + 2. Por defeito    = 2.</t>
  </si>
  <si>
    <t>Modelo Financeiro                                              do Plano de Negócios</t>
  </si>
  <si>
    <t>IAPMEI</t>
  </si>
  <si>
    <t>Folha Investimento - Linha 31</t>
  </si>
  <si>
    <t>Estudos</t>
  </si>
  <si>
    <t>VAL</t>
  </si>
  <si>
    <t>TIR</t>
  </si>
  <si>
    <t>Base</t>
  </si>
  <si>
    <t>PR</t>
  </si>
  <si>
    <t>BASE</t>
  </si>
  <si>
    <t>Qv</t>
  </si>
  <si>
    <t>Preço</t>
  </si>
  <si>
    <t>Variação</t>
  </si>
  <si>
    <t>Custo ??</t>
  </si>
  <si>
    <t>VALOR RESIDUAL</t>
  </si>
  <si>
    <t>SENSIBILIDADE</t>
  </si>
  <si>
    <t>SIMULAÇÃO</t>
  </si>
  <si>
    <t>Considera-se Bu = Bu ano inicial, não influenciado por oscilações sucessivas da estrutura de capital</t>
  </si>
  <si>
    <t>Considera-se wacc t = wacc 0 u ano inicial, não influenciado por oscilações sucessivas da estrutura de capital</t>
  </si>
  <si>
    <t>Imposto Selo (4%)</t>
  </si>
  <si>
    <r>
      <rPr>
        <sz val="8"/>
        <color indexed="12"/>
        <rFont val="Arial Narrow"/>
        <family val="2"/>
      </rPr>
      <t xml:space="preserve">* </t>
    </r>
    <r>
      <rPr>
        <sz val="8"/>
        <rFont val="Arial Narrow"/>
        <family val="2"/>
      </rPr>
      <t>Rm - Rendimento esperado de mercado (entenda-se mercado acionista de referência)</t>
    </r>
  </si>
  <si>
    <t>(Para ver, abrir linha 44 até final do texto, com 2 clicks na célula)</t>
  </si>
  <si>
    <t xml:space="preserve">NOTA: A utilização desta ferramenta,  disponibilizada pelo IAPMEI,  é completamente autónoma  de  qualquer 
outra área/atividade do IAPMEI. Independentemente do fim a que se destine, a utilização da ferramenta,
 assim   como  dos  resultados  com   ela  obtidos,  é  da  inteira   responsabilidade   de   cada  utilizador.  </t>
  </si>
  <si>
    <t>Para a melhor utilização do presente modelo, o empreendedor deverá dominar conceitos básicos de análise económica e financeira ou, não sendo esse o caso, deverá explorar as potencialidades do presente modelo acompanhado por alguém conhecedor desses conceitos. Por outro lado, este modelo Económico-Financeiro deverá ser acompanhado de informação qualitativa detalhada sobre o projeto e de explicação dos pressupostos de cálculos efetuados.</t>
  </si>
  <si>
    <r>
      <t>Ü</t>
    </r>
    <r>
      <rPr>
        <sz val="10"/>
        <rFont val="Arial Narrow"/>
        <family val="2"/>
      </rPr>
      <t xml:space="preserve"> Os valores que se encontrem a azul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</si>
  <si>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utilizador,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</si>
  <si>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efetuar uma análise de sensibilidade, utilize este mesmo modelo, mas com diferentes valores.</t>
    </r>
  </si>
  <si>
    <r>
      <t xml:space="preserve">Colocar o nome da empresa na célula E1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Pressupostos.</t>
    </r>
  </si>
  <si>
    <t>Estimar o volume de negócios da empresa, através das quantidades vendidas, preço de venda dos produtos e de prestação de serviços. Caso pretenda, utilize a folha de cálculo anexa e faça apenas as respetivas ligações, de acordo com a classificação contabilística do seu volume de negócios.</t>
  </si>
  <si>
    <r>
      <t xml:space="preserve">Colocar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CMVMC, na célula correspondente, as margens brutas de negócio para cada um dos produtos vendidos.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</si>
  <si>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FSE, estimar um valor médio mensal para cada umas das rubricas que se adaptem à empresa/negócio.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</si>
  <si>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Gastos com Pessoal, definir os colaboradores (Gerência e Pessoal) da empresa e respetivas remunerações brutas mensais. Para além disto, definir, caso se aplique, um valor para a formação e outros custos com pessoal.</t>
    </r>
  </si>
  <si>
    <r>
      <t xml:space="preserve">Posteriormente, definir o quadro de investimento da empresa/projeto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Investimentos, repartida pelas diferentes rubricas de investimento em ativo fixo.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</si>
  <si>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Fundo Maneio, definir a Reserva de Segurança de Tesouraria. Esta rubrica representa um valor mínimo de disponibilidades a manter ao longo do projeto.</t>
    </r>
  </si>
  <si>
    <r>
      <t xml:space="preserve">Após a definição de todos estes pressupostos, tem que definir a forma de financiamento do 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Financiamento. Deverá indicar o valor de capital social inicial e eventuais aumentos, bem como o nível de suprimentos da empresa e/ou o valor dos empréstimos bancários.</t>
    </r>
  </si>
  <si>
    <r>
      <t xml:space="preserve">Os </t>
    </r>
    <r>
      <rPr>
        <i/>
        <sz val="10"/>
        <rFont val="Arial Narrow"/>
        <family val="2"/>
      </rPr>
      <t>inputs</t>
    </r>
    <r>
      <rPr>
        <sz val="10"/>
        <rFont val="Arial Narrow"/>
        <family val="2"/>
      </rPr>
      <t xml:space="preserve"> do modelo estão inseridos, sendo necessário apenas fazer o acerto de disponibilidades. Assim sendo,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Plano Financeiro, carregar no retângulo que indica 'Acerto do modelo'.</t>
    </r>
  </si>
  <si>
    <r>
      <t xml:space="preserve">No caso de pretender considerar um número superior de produtos ou serviços do que os previstos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VN, recomenda-se:
a) Copiar 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 para uma folha desprotegida, em que poderá considerar todos os produtos;
b) Colocar o valor total dos produtos para o mercado interno em VN - Produto A, e o valor total de produtos exportados em Exportações - Produto A.</t>
    </r>
  </si>
  <si>
    <t>Aconselha-se considerar as Imparidades em 0%, pelas implicações a nível de interpretação, já que apenas serão contabilizadas imparidades sobre Clientes com consequência no valor do Fundo de Maneio.</t>
  </si>
  <si>
    <r>
      <t xml:space="preserve">Para calcular depreciações/amortizações pelo método de quota anual, manter 12 (meses) em cada um dos anos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Investimento, Linha 31, incluindo no ano de investimento.
Pelo método de quota mensal (considera o número de meses contados a partir da entrada em produção/utilização dos ativos), colocar o número de meses de produção em cada um dos dois primeiros anos (</t>
    </r>
    <r>
      <rPr>
        <u/>
        <sz val="10"/>
        <rFont val="Arial Narrow"/>
        <family val="2"/>
      </rPr>
      <t>&gt;0 no ano2</t>
    </r>
    <r>
      <rPr>
        <sz val="10"/>
        <rFont val="Arial Narrow"/>
        <family val="2"/>
      </rPr>
      <t xml:space="preserve">) - </t>
    </r>
    <r>
      <rPr>
        <b/>
        <sz val="10"/>
        <rFont val="Arial Narrow"/>
        <family val="2"/>
      </rPr>
      <t xml:space="preserve"> Folha Investimento Linha 31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</si>
  <si>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Financiamento, é possível considerar valores positivos (aumentos) ou valor negativos (reembolsos) para as rubricas:
* Outros instrumentos de capital (+/-)   
* Empréstimos de Sócios (+) ou Reembolsos a Sócios (-)
* Financiamento bancário e outras Instituições de Crédito
 * Subsídios (+/-)</t>
    </r>
  </si>
  <si>
    <r>
      <t xml:space="preserve">A distribuição de dividendos poderá ser registada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Financeiro, Linha 22.</t>
    </r>
  </si>
  <si>
    <r>
      <t xml:space="preserve">No caso de empresas industriais, é aconselhado o uso da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Cálculos Auxiliares. Esta </t>
    </r>
    <r>
      <rPr>
        <i/>
        <sz val="10"/>
        <rFont val="Arial Narrow"/>
        <family val="2"/>
      </rPr>
      <t xml:space="preserve">sheet </t>
    </r>
    <r>
      <rPr>
        <sz val="10"/>
        <rFont val="Arial Narrow"/>
        <family val="2"/>
      </rPr>
      <t>constitui uma base de cálculo indispensável ao suporte previsional do modelo de projeções.</t>
    </r>
  </si>
  <si>
    <t>Valide os pressupostos aqui indicados e ajuste-os de acordo com o seu projeto</t>
  </si>
  <si>
    <t>Início da Produção ano/meses de produção (DEPRECIAÇÕES)</t>
  </si>
  <si>
    <t>A definir em função da prática da empresa e do setor, assim como da política a prosseguir.</t>
  </si>
  <si>
    <t>A definir em função da Lei e do valor dos rendimentos do trabalho.</t>
  </si>
  <si>
    <t>Definido por Lei - ter em conta a localização e condições específicas da atividade.</t>
  </si>
  <si>
    <t>Ver condições de mercado e risco da empresa na ótica bancária.</t>
  </si>
  <si>
    <t>Um valor para o prémio de risco (pº) adequado ao projeto</t>
  </si>
  <si>
    <t xml:space="preserve">Na maioria dos projetos, considerar 0% e utilizar não a perpetuidade mas sim o valor residual = valor do Ativo Fixo não Amortizado e o Valor Residual do F. Maneio no último ano. Na folha 'Avaliação' existem as 2 hipóteses. </t>
  </si>
  <si>
    <t>a) Introduzir a Margem Bruta diretamente, quando conhecida e passível de ser utilizada, ou efetuar a respetiva fórmula de cálculo;</t>
  </si>
  <si>
    <t>c) Caso não seja possível alcançar o nível do consumo de matéria-prima por produto, introduzir o valor do custo total, após a realização dos respetivos cálculos auxiliares.</t>
  </si>
  <si>
    <t>NOTA 2: Está disponível uma folha para cálculos auxiliares. Contém mapas para cálculo do CMVMC de projetos industriais.</t>
  </si>
  <si>
    <t>NOTA 1: Mapa construído caso a caso:</t>
  </si>
  <si>
    <t>Eletricidade</t>
  </si>
  <si>
    <t>Administração / Direção</t>
  </si>
  <si>
    <t>Total Ativos Fixos Tangíveis</t>
  </si>
  <si>
    <t>Ativos Intangíveis</t>
  </si>
  <si>
    <t>Total Ativos Intangíveis</t>
  </si>
  <si>
    <t>Total Depreciações e Amortizações</t>
  </si>
  <si>
    <t>Depreciações e Amortizações Acumuladas</t>
  </si>
  <si>
    <t>* Nota: se a taxa a utilizar for 33,33%, colocar mais uma casa decimal, considerando 33,333%</t>
  </si>
  <si>
    <t>Meios Libertos do Projeto</t>
  </si>
  <si>
    <t>Outros Instrumentos de Capital</t>
  </si>
  <si>
    <t>Inv. Fundo de Maneio</t>
  </si>
  <si>
    <t>Aplicações/Empréstimo Curto Prazo</t>
  </si>
  <si>
    <t>ATIVO</t>
  </si>
  <si>
    <t>Ativo Não Corrente</t>
  </si>
  <si>
    <t>TOTAL ATIVO</t>
  </si>
  <si>
    <t>Acionistas/Sócios</t>
  </si>
  <si>
    <t>INDICADORES ECONÓMICO-FINANCEIROS</t>
  </si>
  <si>
    <t>Rendibilidade do Ativo</t>
  </si>
  <si>
    <t>Rotação do Ativo</t>
  </si>
  <si>
    <t>Cobertura dos Encargos Financeiros</t>
  </si>
  <si>
    <t>INDICADORES DE RISCO DE NEGÓCIO</t>
  </si>
  <si>
    <t>Valor Atual Líquido (VAL)</t>
  </si>
  <si>
    <t>Taxa Interna de Rendibilidade</t>
  </si>
  <si>
    <t>Fluxos Atualizados</t>
  </si>
  <si>
    <t>% Passivo Remunerado</t>
  </si>
  <si>
    <t>Valor Residual = Cap. Próprio no último ano</t>
  </si>
  <si>
    <t>Avaliação do Projeto / Empresa</t>
  </si>
  <si>
    <t>Fator de Atualização</t>
  </si>
  <si>
    <t>Fluxos Atualizados Acumulados</t>
  </si>
  <si>
    <t>Taxa de Juro de Ativos Sem Risco</t>
  </si>
  <si>
    <t>Prémio de Risco de Mercado</t>
  </si>
  <si>
    <t>Consumo de Matérias-Primas 1*</t>
  </si>
  <si>
    <t>Matérias-Primas e Subsidiárias</t>
  </si>
  <si>
    <t>Preço das Matérias-Primas e Subsidiárias</t>
  </si>
  <si>
    <t xml:space="preserve">Matérias-Primas e Subsidiárias </t>
  </si>
  <si>
    <t>1* Obtido da  multiplicação da produção pelo consumo de matéria-prima por unidade de produto acabado.</t>
  </si>
  <si>
    <t>2* Obtido da multiplicação do consumo das matérias-primas pelo preço.</t>
  </si>
  <si>
    <r>
      <rPr>
        <b/>
        <sz val="10"/>
        <rFont val="Arial Narrow"/>
        <family val="2"/>
      </rPr>
      <t>Acertar Modelo</t>
    </r>
    <r>
      <rPr>
        <sz val="10"/>
        <rFont val="Arial Narrow"/>
        <family val="2"/>
      </rPr>
      <t xml:space="preserve">: Após carregamento dos dados e sempre que introduza alterações, é necessário carregar na função 'Acertar Modelo'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Financeiro.   Se necessário, carregar 2 vezes em 'Acertar Modelo'.</t>
    </r>
  </si>
  <si>
    <t>Para que possa tirar partido de todas as funcionalidades do modelo, deverá confirmar se o nível de segurança das Macros está em Médio. Para isso, basta ir às 'Ferramentas' - 'Macro' - 'Segurança' e no Nível de Segurança escolher/confirmar se está no Médio. Caso não esteja, coloque a opção já indicada e feche o ficheiro. Quando reabrir, selecione 'Aceitar Macro'.</t>
  </si>
  <si>
    <t>Unidade Monetária</t>
  </si>
  <si>
    <t>Ano Inicial do Projeto (Ano 0)</t>
  </si>
  <si>
    <t>Prazo Médio de Recebimento (dias) / (meses)</t>
  </si>
  <si>
    <t>Prazo Médio de Pagamento (dias) / (meses)</t>
  </si>
  <si>
    <t>Prazo Médio de Stockagem (dias) / (meses)</t>
  </si>
  <si>
    <t>Taxa de Segurança Social - Entidade - Órgãos Sociais</t>
  </si>
  <si>
    <t>Taxa de Segurança Social - Pessoal - Órgãos Sociais</t>
  </si>
  <si>
    <t>Taxa de Segurança Social - Pessoal - Colaboradores</t>
  </si>
  <si>
    <t xml:space="preserve">Taxa Média de IRS </t>
  </si>
  <si>
    <t>Taxa de Juro de Empréstimo Curto Prazo</t>
  </si>
  <si>
    <t>Taxa de Juro de Empréstimo ML Prazo</t>
  </si>
  <si>
    <t>Taxa de Juro de Ativos Sem Risco - Rf (Obrig.Tesouro)</t>
  </si>
  <si>
    <t>Taxa de Crescimento dos Cash Flows na Perpetuidade</t>
  </si>
  <si>
    <t>Taxa de Variação dos Preços</t>
  </si>
  <si>
    <t>Quantidades Vendidas</t>
  </si>
  <si>
    <t>Taxa de Crescimento das Unidades Vendidas</t>
  </si>
  <si>
    <t>Contratos de Consultoria e Assistência Técnica</t>
  </si>
  <si>
    <t>* Produtos / Famílias de Produtos / Mercadorias</t>
  </si>
  <si>
    <t>NOTA: Caso não tenha conhecimento das quantidades, colocar o valor das vendas na linha das 'Quantidades Vendidas' e o valor 1 na linha do 'Preço Unitário'.</t>
  </si>
  <si>
    <t xml:space="preserve">Taxa de Crescimento </t>
  </si>
  <si>
    <t>Serviços Diversos Não Especificados</t>
  </si>
  <si>
    <t>Outros Serviços Diversos Não Especificados</t>
  </si>
  <si>
    <t>Perdas por Imparidade                                                                %</t>
  </si>
  <si>
    <t>b) Efetuar os cálculos auxiliares considerados necessários para alcançar o nível de matéria-prima por unidade produzida e introduzir manualmente os valores;</t>
  </si>
  <si>
    <t>Serviços Especializados</t>
  </si>
  <si>
    <t>Trabalhos Especializados</t>
  </si>
  <si>
    <t>Publicidade e Propaganda</t>
  </si>
  <si>
    <t>Vigilância e Segurança</t>
  </si>
  <si>
    <t>Conservação e Reparação</t>
  </si>
  <si>
    <t>Ferramentas e Utensílios de Desgaste Rápido</t>
  </si>
  <si>
    <t>Livros e Documentação Técnica</t>
  </si>
  <si>
    <t>Material de Escritório</t>
  </si>
  <si>
    <t>Artigos para Oferta</t>
  </si>
  <si>
    <t>Energia e Fluidos</t>
  </si>
  <si>
    <t>Deslocações, Estadas e Transportes</t>
  </si>
  <si>
    <t>Transportes de Pessoal</t>
  </si>
  <si>
    <t>Transportes de Mercadorias</t>
  </si>
  <si>
    <t>Serviços Diversos</t>
  </si>
  <si>
    <t>Rendas e Alugueres</t>
  </si>
  <si>
    <t>Contencioso e Notariado</t>
  </si>
  <si>
    <t>Despesas de Representação</t>
  </si>
  <si>
    <t>Limpeza, Higiene e Conforto</t>
  </si>
  <si>
    <t>Outros Serviços</t>
  </si>
  <si>
    <t>Quadro de Pessoal (N.º Pessoas)</t>
  </si>
  <si>
    <t>Administrativa / Financeira</t>
  </si>
  <si>
    <t>Comercial / Marketing</t>
  </si>
  <si>
    <t>Produção / Operacional</t>
  </si>
  <si>
    <t>Investigação e Desenvolvimento</t>
  </si>
  <si>
    <t>Remuneração Base Mensal</t>
  </si>
  <si>
    <t>Remuneração Base Anual - TOTAL Colaboradores</t>
  </si>
  <si>
    <t>Subsídio Alimentação  - N.º Dias Úteis/Mês x Subsídio/Dia</t>
  </si>
  <si>
    <t>N.º Meses Subsídio Alimentação (Meses)</t>
  </si>
  <si>
    <t>Outros Custos com Pessoal</t>
  </si>
  <si>
    <t>Encargos sobre Remunerações</t>
  </si>
  <si>
    <t>Seguros Acidentes de Trabalho e Doenças Profissionais</t>
  </si>
  <si>
    <t>Gastos de Ação Social</t>
  </si>
  <si>
    <t>Outros Gastos com Pessoal</t>
  </si>
  <si>
    <t>Gerência / Administração</t>
  </si>
  <si>
    <t>Investimento por Ano</t>
  </si>
  <si>
    <t>Propriedades de Investimento</t>
  </si>
  <si>
    <t>Terrenos e Recursos Naturais</t>
  </si>
  <si>
    <t>Edifícios e Outras Construções</t>
  </si>
  <si>
    <t>Outras Propriedades de Investimento</t>
  </si>
  <si>
    <t>Total Propriedades de Investimento</t>
  </si>
  <si>
    <t>Ativos Fixos Tangíveis</t>
  </si>
  <si>
    <t>Equipamento  Básico</t>
  </si>
  <si>
    <t>Equipamento de Transporte</t>
  </si>
  <si>
    <t>Equipamento Administrativo</t>
  </si>
  <si>
    <t>Equipamentos Biológicos</t>
  </si>
  <si>
    <t>Outros Ativos Fixos Tangíveis</t>
  </si>
  <si>
    <t>Projetos de Desenvolvimento</t>
  </si>
  <si>
    <t>Programas de Computador</t>
  </si>
  <si>
    <t>Propriedade Industrial</t>
  </si>
  <si>
    <t>Outros Ativos Intangíveis</t>
  </si>
  <si>
    <t xml:space="preserve">   Terrenos e Recursos Naturais</t>
  </si>
  <si>
    <t xml:space="preserve">   Edifícios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</si>
  <si>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</si>
  <si>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</si>
  <si>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</si>
  <si>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</si>
  <si>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Ativos Fixos Tangíveis</t>
  </si>
  <si>
    <t>Taxas de Depreciações e Amortizações</t>
  </si>
  <si>
    <t>Margem de Segurança</t>
  </si>
  <si>
    <t>Necessidades de Financiamento</t>
  </si>
  <si>
    <t>Financiamento Bancário e Outras Inst. Crédito</t>
  </si>
  <si>
    <t>Subsídios</t>
  </si>
  <si>
    <t>N.º de Anos Reembolso</t>
  </si>
  <si>
    <t>N.º Anos de Carência</t>
  </si>
  <si>
    <t>Capital em Dívida (Início Período)</t>
  </si>
  <si>
    <t>Serviço da Dívida</t>
  </si>
  <si>
    <t>Valor em Dívida</t>
  </si>
  <si>
    <t>Valor em Divida</t>
  </si>
  <si>
    <t>Capital em Dívida</t>
  </si>
  <si>
    <t>Juros Pagos com Imposto Selo Incluído</t>
  </si>
  <si>
    <t>Vendas e Serviços Prestados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</si>
  <si>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</si>
  <si>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</si>
  <si>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</si>
  <si>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</si>
  <si>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</si>
  <si>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</si>
  <si>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</si>
  <si>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</si>
  <si>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</si>
  <si>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</si>
  <si>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</si>
  <si>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</si>
  <si>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</si>
  <si>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Ativos Depreciáveis/Amortizáveis (Perdas/Reversões)</t>
  </si>
  <si>
    <t>Juros e Rendimentos Similares Obtidos</t>
  </si>
  <si>
    <t>Juros e Gastos Similares Suportados</t>
  </si>
  <si>
    <t>Imposto sobre o Rendimento do Período</t>
  </si>
  <si>
    <t>Depreciações e Amortizações</t>
  </si>
  <si>
    <t>Provisões do Exercício</t>
  </si>
  <si>
    <t>Free Cash Flow</t>
  </si>
  <si>
    <t>CASH FLOW Acumulado</t>
  </si>
  <si>
    <t>Capital Social (Entrada de Fundos)</t>
  </si>
  <si>
    <t>Investimentos Financeiros</t>
  </si>
  <si>
    <t>Ativo Corrente</t>
  </si>
  <si>
    <t>Estado e Outros Entes Públicos</t>
  </si>
  <si>
    <t>Outras Contas a Receber</t>
  </si>
  <si>
    <t>Caixa e Depósitos Bancários</t>
  </si>
  <si>
    <t>Ações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</si>
  <si>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</si>
  <si>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</si>
  <si>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</si>
  <si>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</si>
  <si>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Passivo Não Corrente</t>
  </si>
  <si>
    <t>Financiamentos Obtidos</t>
  </si>
  <si>
    <t>Outras Contas a Pagar</t>
  </si>
  <si>
    <t>Passivo Corrente</t>
  </si>
  <si>
    <t>Pay Back Period (Arred. Ano Inteiro)</t>
  </si>
  <si>
    <t>Cálc. Manual</t>
  </si>
  <si>
    <t>Matérias-Primas e Subsidiárias (Discriminação)</t>
  </si>
  <si>
    <t>Unidades Físicas</t>
  </si>
  <si>
    <t>Meses</t>
  </si>
  <si>
    <t>Taxa de Segurança Social - Entidade - Colaboradores</t>
  </si>
  <si>
    <r>
      <t xml:space="preserve">Prazo de Pagamento de IVA </t>
    </r>
    <r>
      <rPr>
        <b/>
        <sz val="8"/>
        <color indexed="63"/>
        <rFont val="Arial Narrow"/>
        <family val="2"/>
      </rPr>
      <t xml:space="preserve"> (trim = 4; mensal =12)</t>
    </r>
  </si>
  <si>
    <r>
      <rPr>
        <b/>
        <sz val="8"/>
        <color indexed="62"/>
        <rFont val="Arial Narrow"/>
        <family val="2"/>
      </rPr>
      <t>NOTA:</t>
    </r>
    <r>
      <rPr>
        <sz val="8"/>
        <color indexed="62"/>
        <rFont val="Arial Narrow"/>
        <family val="2"/>
      </rPr>
      <t xml:space="preserve"> Quando não se aplica </t>
    </r>
    <r>
      <rPr>
        <i/>
        <u/>
        <sz val="8"/>
        <color indexed="62"/>
        <rFont val="Arial Narrow"/>
        <family val="2"/>
      </rPr>
      <t>Beta</t>
    </r>
    <r>
      <rPr>
        <sz val="8"/>
        <color indexed="62"/>
        <rFont val="Arial Narrow"/>
        <family val="2"/>
      </rPr>
      <t xml:space="preserve">, colocar: </t>
    </r>
  </si>
  <si>
    <t>Investimento em Fundo Maneio Necessário</t>
  </si>
  <si>
    <t>Rendibilidade Líquida sobre as Vendas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</si>
  <si>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</t>
    </r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</si>
  <si>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(Ativo Cap Fixo não depreciado N + Fundo de Maneio Necessário N)/ Fator Atualiz. (h32*(1+I31))</t>
    </r>
  </si>
  <si>
    <t>Se versão excell for em inglês, meter na fórmula do Preríodo de Recuperação, o termo "false" em vez de "falso"</t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</si>
  <si>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</t>
    </r>
    <r>
      <rPr>
        <b/>
        <sz val="8"/>
        <color indexed="62"/>
        <rFont val="Arial Narrow"/>
        <family val="2"/>
      </rPr>
      <t>Cap Próprio N</t>
    </r>
    <r>
      <rPr>
        <sz val="8"/>
        <color indexed="62"/>
        <rFont val="Arial Narrow"/>
        <family val="2"/>
      </rPr>
      <t xml:space="preserve"> [ou </t>
    </r>
    <r>
      <rPr>
        <sz val="6"/>
        <color indexed="62"/>
        <rFont val="Arial Narrow"/>
        <family val="2"/>
      </rPr>
      <t>(Ativo não depreciado + F.Maneio -Passivo) ]</t>
    </r>
    <r>
      <rPr>
        <b/>
        <sz val="8"/>
        <color indexed="62"/>
        <rFont val="Arial Narrow"/>
        <family val="2"/>
      </rPr>
      <t>/ (h54*(1+I53))</t>
    </r>
  </si>
  <si>
    <t>Taxa de Atualização  Rcp = Ru = RF+Bu*(Rm-Rf)</t>
  </si>
  <si>
    <r>
      <t xml:space="preserve">Free Cash Flow do Equity </t>
    </r>
    <r>
      <rPr>
        <i/>
        <sz val="8"/>
        <rFont val="Arial Narrow"/>
        <family val="2"/>
      </rPr>
      <t xml:space="preserve">= </t>
    </r>
    <r>
      <rPr>
        <i/>
        <sz val="8"/>
        <color indexed="12"/>
        <rFont val="Arial Narrow"/>
        <family val="2"/>
      </rPr>
      <t>CF operac + CF investimento + CF financiamento</t>
    </r>
  </si>
  <si>
    <t>TAXAS DE ATUALIZAÇÃO</t>
  </si>
  <si>
    <t>Ano 0 - Sem atividade*</t>
  </si>
  <si>
    <t>* Se há atividade no ano inicial, considerar a estrutura inicial de financiamento</t>
  </si>
  <si>
    <t>Rcp = Rf+Bu*(Rm-Rf)</t>
  </si>
  <si>
    <t>Taxa de Atualização  Rcp = Rf + Bu*(Rm-Rf) com Bu</t>
  </si>
  <si>
    <r>
      <t xml:space="preserve">Custo Financiamento                                           </t>
    </r>
    <r>
      <rPr>
        <b/>
        <sz val="8"/>
        <color indexed="30"/>
        <rFont val="Arial Narrow"/>
        <family val="2"/>
      </rPr>
      <t>j</t>
    </r>
  </si>
  <si>
    <t>Custo Médio Ponderado do Capital (wacc) = Rcp*CP% + j*(1-t)*CA%</t>
  </si>
  <si>
    <t>ESTRUTURA DO FINANCIAMENTO DO PROJETO</t>
  </si>
  <si>
    <r>
      <t xml:space="preserve">Custo Financiamento com Efeito Fiscal              </t>
    </r>
    <r>
      <rPr>
        <b/>
        <sz val="8"/>
        <color indexed="30"/>
        <rFont val="Arial Narrow"/>
        <family val="2"/>
      </rPr>
      <t>(1-t)*j</t>
    </r>
  </si>
  <si>
    <r>
      <t xml:space="preserve">Custo médio ponderado capital = Rcp*CP%+Rca*(1-ti)*CA%  </t>
    </r>
    <r>
      <rPr>
        <b/>
        <i/>
        <sz val="8"/>
        <color indexed="12"/>
        <rFont val="Calibri"/>
        <family val="2"/>
      </rPr>
      <t xml:space="preserve"> (Rcp com </t>
    </r>
    <r>
      <rPr>
        <i/>
        <sz val="8"/>
        <color indexed="12"/>
        <rFont val="Calibri"/>
        <family val="2"/>
      </rPr>
      <t>BP 100%CP)</t>
    </r>
  </si>
  <si>
    <t xml:space="preserve">Cálculo do CMPCP (wacc)  (ótica do investimento) </t>
  </si>
  <si>
    <t>CMPCP (wacc)  (ótica do investimento) = Rcp*CP%+Rca*(1-ti)*CA%     (Rcp com Bp - Beta do projeto)</t>
  </si>
  <si>
    <t>cmpcp com cash flows líquidos de financiamento  Rcp*CP%+Rca*(1-ti)*CA%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</si>
  <si>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 em N+1</t>
    </r>
  </si>
  <si>
    <t>Na Perspetiva do Investidor/accionista - Ótica do Cap. Próprio</t>
  </si>
  <si>
    <r>
      <t xml:space="preserve">Beta p = </t>
    </r>
    <r>
      <rPr>
        <b/>
        <i/>
        <sz val="9"/>
        <color indexed="9"/>
        <rFont val="Calibri"/>
        <family val="2"/>
      </rPr>
      <t>B</t>
    </r>
    <r>
      <rPr>
        <b/>
        <sz val="9"/>
        <color indexed="9"/>
        <rFont val="Calibri"/>
        <family val="2"/>
      </rPr>
      <t>u * (1+(1-t)*CA/CP) para cálc. alternativo</t>
    </r>
  </si>
  <si>
    <r>
      <t>Custo Capital  Rcp = Rf+</t>
    </r>
    <r>
      <rPr>
        <b/>
        <i/>
        <sz val="8"/>
        <color indexed="9"/>
        <rFont val="Arial Narrow"/>
        <family val="2"/>
      </rPr>
      <t>Bp</t>
    </r>
    <r>
      <rPr>
        <sz val="8"/>
        <color indexed="9"/>
        <rFont val="Arial Narrow"/>
        <family val="2"/>
      </rPr>
      <t xml:space="preserve">*(Rm-Rf)  </t>
    </r>
  </si>
  <si>
    <t>Taxa de Atualização =  Rcp = Ru = RF+Bu*(Rm-Rf)</t>
  </si>
  <si>
    <t>Na Perspetiva do Investimento (pré-financiamento = 100% CP)</t>
  </si>
  <si>
    <t>Custo do capital próprio (CAPM)  = Rcp = Rf + Bu*(Rm-Rf)</t>
  </si>
  <si>
    <r>
      <t>CMPCP (wacc)  (ótica do investimento) = Rcp*CP%+Rca*(1-ti)*CA%     (Rcp com Bu)</t>
    </r>
    <r>
      <rPr>
        <b/>
        <i/>
        <sz val="8"/>
        <color indexed="12"/>
        <rFont val="Arial Narrow"/>
        <family val="2"/>
      </rPr>
      <t xml:space="preserve"> (=Bp otica 100% cap próprio)</t>
    </r>
  </si>
  <si>
    <r>
      <t xml:space="preserve">Custo do Financiamento Líquido  = </t>
    </r>
    <r>
      <rPr>
        <b/>
        <sz val="8"/>
        <color indexed="12"/>
        <rFont val="Arial Narrow"/>
        <family val="2"/>
      </rPr>
      <t>(1-t)*j</t>
    </r>
  </si>
  <si>
    <t>Não utilizado</t>
  </si>
  <si>
    <t>N.º Meses (pagos em ano normal)</t>
  </si>
  <si>
    <t xml:space="preserve">Órgãos Sociais  </t>
  </si>
  <si>
    <t>Beta U a partir de BL de Empresa(s) de Referência</t>
  </si>
  <si>
    <t>Beta = 100% se não utilizar Beta  (não utilizar BL de empresa de referência)</t>
  </si>
  <si>
    <r>
      <t>Ü</t>
    </r>
    <r>
      <rPr>
        <sz val="10"/>
        <rFont val="Arial Narrow"/>
        <family val="2"/>
      </rPr>
      <t xml:space="preserve"> Só devem ser inseridos valores nas </t>
    </r>
    <r>
      <rPr>
        <sz val="10"/>
        <color indexed="12"/>
        <rFont val="Arial Narrow"/>
        <family val="2"/>
      </rPr>
      <t>células com fundo branco</t>
    </r>
    <r>
      <rPr>
        <sz val="10"/>
        <rFont val="Arial Narrow"/>
        <family val="2"/>
      </rPr>
      <t>;</t>
    </r>
  </si>
  <si>
    <r>
      <t xml:space="preserve">O método dos fluxos de caixa descontados consiste em estimar os fluxos de caixa futuros do projeto e atualizá-los para o momento de avaliação, utilizando uma taxa de desconto (= taxa de atualização = custo do capital desejado pelo investidor) adequada em função do risco do projeto.
O Beta </t>
    </r>
    <r>
      <rPr>
        <b/>
        <i/>
        <sz val="8"/>
        <color indexed="9"/>
        <rFont val="Calibri"/>
        <family val="2"/>
      </rPr>
      <t>B</t>
    </r>
    <r>
      <rPr>
        <sz val="8"/>
        <color indexed="9"/>
        <rFont val="Calibri"/>
        <family val="2"/>
      </rPr>
      <t xml:space="preserve"> obtido duma empresa de referência (ou mais do que uma) cotada em Bolsa (pode ser a própria empresa que vai implementar o projeto) exprime o risco 
relativo da empresa em relação ao risco global de mercado - diz-se Beta da ação = relação de variação entre a cotação da empresa e a variação do Índice de mercado.  
          </t>
    </r>
    <r>
      <rPr>
        <b/>
        <i/>
        <sz val="10"/>
        <color indexed="9"/>
        <rFont val="Calibri"/>
        <family val="2"/>
      </rPr>
      <t>B</t>
    </r>
    <r>
      <rPr>
        <b/>
        <sz val="10"/>
        <color indexed="9"/>
        <rFont val="Calibri"/>
        <family val="2"/>
      </rPr>
      <t>ação = Covar(Rendibilid do Título;Rendibilid de mercado) / Var (Rendibilidade de mercado)</t>
    </r>
    <r>
      <rPr>
        <sz val="8"/>
        <color indexed="9"/>
        <rFont val="Calibri"/>
        <family val="2"/>
      </rPr>
      <t xml:space="preserve">
</t>
    </r>
    <r>
      <rPr>
        <b/>
        <sz val="9"/>
        <color indexed="34"/>
        <rFont val="Calibri"/>
        <family val="2"/>
      </rPr>
      <t>Free Cash Flow to da Firm</t>
    </r>
    <r>
      <rPr>
        <sz val="8"/>
        <color indexed="9"/>
        <rFont val="Calibri"/>
        <family val="2"/>
      </rPr>
      <t xml:space="preserve">
βL pode ser &lt;,= ou &gt; 1, sendo o risco tamto maior quanto maior for BL.
O Beta assim obtido diz-se alavancado BL pelo que importa eliminar o efeito de alavancagem do Capital Alheio da empresa e obter asso o Beta deslavancado dito BU, para utilizar na avaliação de projetos  
BL   = BU x [1 + (1-ti) x (CA /CP)]   =&gt; </t>
    </r>
    <r>
      <rPr>
        <b/>
        <sz val="8"/>
        <color indexed="9"/>
        <rFont val="Calibri"/>
        <family val="2"/>
      </rPr>
      <t xml:space="preserve">BU   = BL / [1 + (1-ti) x (CA /CP)]   </t>
    </r>
    <r>
      <rPr>
        <sz val="8"/>
        <color indexed="9"/>
        <rFont val="Calibri"/>
        <family val="2"/>
      </rPr>
      <t xml:space="preserve">em que :  CA (ou P) - capital alheio; CP - Capital Prório  e ti - tx de imposto (irc)
</t>
    </r>
    <r>
      <rPr>
        <b/>
        <sz val="10"/>
        <color indexed="9"/>
        <rFont val="Calibri"/>
        <family val="2"/>
      </rPr>
      <t>AVALIAÇÃO DO PROJETO</t>
    </r>
    <r>
      <rPr>
        <b/>
        <sz val="8"/>
        <color indexed="9"/>
        <rFont val="Calibri"/>
        <family val="2"/>
      </rPr>
      <t xml:space="preserve">
- Calculam-se os Cash Flows Líquidos FCFF = CFL = EBITx(1-t)+Amortiz - Investimento (Capital Fixo - Fundo de Maneio Necessário) + valor residual investim. (ano n)
- Determina-se a Taxa de atualização (desconto, custo de capital) adequada à </t>
    </r>
    <r>
      <rPr>
        <b/>
        <u/>
        <sz val="8"/>
        <color indexed="9"/>
        <rFont val="Calibri"/>
        <family val="2"/>
      </rPr>
      <t>ótica de avaliação</t>
    </r>
    <r>
      <rPr>
        <b/>
        <sz val="8"/>
        <color indexed="9"/>
        <rFont val="Calibri"/>
        <family val="2"/>
      </rPr>
      <t xml:space="preserve"> considerada
</t>
    </r>
    <r>
      <rPr>
        <b/>
        <sz val="10"/>
        <color indexed="9"/>
        <rFont val="Calibri"/>
        <family val="2"/>
      </rPr>
      <t>1.</t>
    </r>
    <r>
      <rPr>
        <sz val="10"/>
        <color indexed="9"/>
        <rFont val="Calibri"/>
        <family val="2"/>
      </rPr>
      <t xml:space="preserve"> </t>
    </r>
    <r>
      <rPr>
        <b/>
        <u/>
        <sz val="10"/>
        <color indexed="9"/>
        <rFont val="Calibri"/>
        <family val="2"/>
      </rPr>
      <t>Avaliação na ótica do investimento</t>
    </r>
    <r>
      <rPr>
        <b/>
        <u/>
        <sz val="8"/>
        <color indexed="9"/>
        <rFont val="Calibri"/>
        <family val="2"/>
      </rPr>
      <t xml:space="preserve"> (pré-financiamento) </t>
    </r>
    <r>
      <rPr>
        <b/>
        <sz val="8"/>
        <color indexed="9"/>
        <rFont val="Calibri"/>
        <family val="2"/>
      </rPr>
      <t xml:space="preserve">ignora a forma de financiamento o que equivale a </t>
    </r>
    <r>
      <rPr>
        <b/>
        <u/>
        <sz val="8"/>
        <color indexed="9"/>
        <rFont val="Calibri"/>
        <family val="2"/>
      </rPr>
      <t>= 100% Cap Próprio</t>
    </r>
    <r>
      <rPr>
        <sz val="8"/>
        <color indexed="9"/>
        <rFont val="Calibri"/>
        <family val="2"/>
      </rPr>
      <t xml:space="preserve">) </t>
    </r>
    <r>
      <rPr>
        <sz val="8"/>
        <color indexed="9"/>
        <rFont val="Calibri"/>
        <family val="2"/>
      </rPr>
      <t xml:space="preserve">
   </t>
    </r>
    <r>
      <rPr>
        <b/>
        <sz val="8"/>
        <color indexed="9"/>
        <rFont val="Calibri"/>
        <family val="2"/>
      </rPr>
      <t>A Taxa de atualização</t>
    </r>
    <r>
      <rPr>
        <sz val="8"/>
        <color indexed="9"/>
        <rFont val="Calibri"/>
        <family val="2"/>
      </rPr>
      <t xml:space="preserve"> (desconto)  = </t>
    </r>
    <r>
      <rPr>
        <b/>
        <sz val="8"/>
        <color indexed="9"/>
        <rFont val="Calibri"/>
        <family val="2"/>
      </rPr>
      <t xml:space="preserve">re = Rf + </t>
    </r>
    <r>
      <rPr>
        <b/>
        <i/>
        <sz val="8"/>
        <color indexed="9"/>
        <rFont val="Calibri"/>
        <family val="2"/>
      </rPr>
      <t>B</t>
    </r>
    <r>
      <rPr>
        <b/>
        <sz val="8"/>
        <color indexed="9"/>
        <rFont val="Calibri"/>
        <family val="2"/>
      </rPr>
      <t xml:space="preserve">u*(Rm - Rf). 
</t>
    </r>
    <r>
      <rPr>
        <b/>
        <sz val="10"/>
        <color indexed="9"/>
        <rFont val="Calibri"/>
        <family val="2"/>
      </rPr>
      <t xml:space="preserve">2. </t>
    </r>
    <r>
      <rPr>
        <b/>
        <u/>
        <sz val="10"/>
        <color indexed="9"/>
        <rFont val="Calibri"/>
        <family val="2"/>
      </rPr>
      <t xml:space="preserve">Avaliação na Ótica do Investiemnto pós-financiamento, </t>
    </r>
    <r>
      <rPr>
        <b/>
        <u/>
        <sz val="8"/>
        <color indexed="9"/>
        <rFont val="Calibri"/>
        <family val="2"/>
      </rPr>
      <t>incorpora os efeitos do capital alheio refletidos na taxa de utilização</t>
    </r>
    <r>
      <rPr>
        <b/>
        <sz val="8"/>
        <color indexed="9"/>
        <rFont val="Calibri"/>
        <family val="2"/>
      </rPr>
      <t xml:space="preserve">
Taxa de atualização  = wacc (custo médio ponderado do capital) = Rcp*CP /(CP+CA)+ Rca*(1-ti)*CA/ (CP+CA)
com Rcp = re = Rf + Bu*(Rm-Rf) e Rca - taxa de juro efetiva do capital alheio
Em alternativa, pode utilizar-se método considerando Rcp = Rf + Bp*(Rm-Rf).           com         Bp = Bu*(1+(1-ti)*(CA/CP)) com CA e CP do projeto
</t>
    </r>
    <r>
      <rPr>
        <b/>
        <u/>
        <sz val="10"/>
        <color indexed="9"/>
        <rFont val="Calibri"/>
        <family val="2"/>
      </rPr>
      <t xml:space="preserve">3. Avaliação na  Ótica do Investidor (ou do Capital Próprio) </t>
    </r>
    <r>
      <rPr>
        <b/>
        <u/>
        <sz val="11"/>
        <color indexed="34"/>
        <rFont val="Calibri"/>
        <family val="2"/>
      </rPr>
      <t>(Free Cash Flow to Equity)</t>
    </r>
    <r>
      <rPr>
        <b/>
        <sz val="8"/>
        <color indexed="9"/>
        <rFont val="Calibri"/>
        <family val="2"/>
      </rPr>
      <t xml:space="preserve">
No método de avaliação pelo desconto de fluxos de caixa líquido do acionista (FCFE - Free Cashflow to Equity), o objetivo é avaliar diretamente o valor líquido e a remuneração do capital do investidor (ou do acionista da empresa) 
Os Cash Flows (FCFE) = Cash flows na ótica do Investimento + Cash Flows de financiamento em cada ano
 FCFEt  = Resultado operacional*(1-ti) + Amortizações Inv - Investimento (cap. fixo e fundo de maneio) + Financiamento obtido - reeembolsos de financiamento - Encargos financeiros*(1-ti)
-  taxa de atualização =  Rcp (CAPM) = Rf + Bu*(Rm - Rf). 
</t>
    </r>
    <r>
      <rPr>
        <b/>
        <sz val="9"/>
        <color indexed="9"/>
        <rFont val="Calibri"/>
        <family val="2"/>
      </rPr>
      <t xml:space="preserve">NOTAS:
1.  Em todos os métodos, considera-se o Valor Residual dos CASH FLOWS no último ano, que podem influenciar significativamente, consoante o método de cálculo, o Valor dos indicadores (VAL e TIR).
2. É usual utilizar a taxa de atualização do 1º ano em todos os períodos - O que não acontece nesta Folha calc que altera a tx atualização em cada ano
</t>
    </r>
    <r>
      <rPr>
        <b/>
        <sz val="9"/>
        <color indexed="34"/>
        <rFont val="Calibri"/>
        <family val="2"/>
      </rPr>
      <t xml:space="preserve">
</t>
    </r>
  </si>
  <si>
    <t>Metodologias de avaliação</t>
  </si>
  <si>
    <r>
      <t>Prémio de Risco de Mercado = (Rm</t>
    </r>
    <r>
      <rPr>
        <sz val="8"/>
        <color indexed="12"/>
        <rFont val="Arial Narrow"/>
        <family val="2"/>
      </rPr>
      <t>*</t>
    </r>
    <r>
      <rPr>
        <sz val="8"/>
        <rFont val="Arial Narrow"/>
        <family val="2"/>
      </rPr>
      <t xml:space="preserve">-Rf) </t>
    </r>
    <r>
      <rPr>
        <sz val="8"/>
        <color indexed="12"/>
        <rFont val="Arial Narrow"/>
        <family val="2"/>
      </rPr>
      <t>**</t>
    </r>
  </si>
  <si>
    <r>
      <rPr>
        <i/>
        <sz val="8"/>
        <color indexed="12"/>
        <rFont val="Arial Narrow"/>
        <family val="2"/>
      </rPr>
      <t xml:space="preserve">** </t>
    </r>
    <r>
      <rPr>
        <i/>
        <sz val="8"/>
        <rFont val="Arial Narrow"/>
        <family val="2"/>
      </rPr>
      <t>Em Portugal 2019 será razoável em investimentos "normais" 6% a 8%</t>
    </r>
  </si>
  <si>
    <t>Margem Bruta %</t>
  </si>
  <si>
    <t>N.º Meses de produção</t>
  </si>
  <si>
    <t>CV %</t>
  </si>
  <si>
    <t>CF %</t>
  </si>
  <si>
    <t>Taxa de Crescimento %</t>
  </si>
  <si>
    <t>Meses de atividade da empresa (incluindo paragem em férias)</t>
  </si>
  <si>
    <t>Incremento Anual (Vencimentos + Sub. Almoço) %</t>
  </si>
  <si>
    <t>Quadro de Pessoal (Meses de Trabalho incluindo Tempo Férias)</t>
  </si>
  <si>
    <t>Reserva Segurança Tesouraria (valor fixo)</t>
  </si>
  <si>
    <t>N.º Meses Atividade/Produção</t>
  </si>
  <si>
    <t>Utilizar tabela "legal" de amortizações  e se necessário calcular Taxa médias por tipo de investimento</t>
  </si>
  <si>
    <t>4 = trim; 12 = mensal</t>
  </si>
  <si>
    <t>Taxa de Juro Associada</t>
  </si>
  <si>
    <t>***</t>
  </si>
  <si>
    <r>
      <t>2.</t>
    </r>
    <r>
      <rPr>
        <b/>
        <sz val="6"/>
        <color indexed="62"/>
        <rFont val="Arial Narrow"/>
        <family val="2"/>
      </rPr>
      <t>Ativo não depreciado + F.Maneio</t>
    </r>
  </si>
  <si>
    <r>
      <t xml:space="preserve">Na Perspetiva do Investimento (pós-financiamento)
</t>
    </r>
    <r>
      <rPr>
        <b/>
        <sz val="8"/>
        <color indexed="9"/>
        <rFont val="Arial Narrow"/>
        <family val="2"/>
      </rPr>
      <t>Taxa Atualização=Custo Médio Ponderado do Capital - wacc)</t>
    </r>
  </si>
  <si>
    <t>EzPower™ by Flexible Energies</t>
  </si>
  <si>
    <t>Data 14/04/2025</t>
  </si>
  <si>
    <r>
      <t>Apr.</t>
    </r>
    <r>
      <rPr>
        <sz val="8"/>
        <color indexed="12"/>
        <rFont val="Arial Narrow"/>
        <family val="2"/>
      </rPr>
      <t>2025</t>
    </r>
  </si>
  <si>
    <t>Flexible 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</si>
</sst>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%"/>
    <numFmt numFmtId="176" formatCode="#,##0.000"/>
    <numFmt numFmtId="177" formatCode="#,##0.0000"/>
  </numFmts>
  <fonts count="10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6"/>
      <name val="Arial Narrow"/>
      <family val="2"/>
    </font>
    <font>
      <b/>
      <sz val="9"/>
      <name val="Arial Narrow"/>
      <family val="2"/>
    </font>
    <font>
      <b/>
      <i/>
      <sz val="8"/>
      <color indexed="9"/>
      <name val="Calibri"/>
      <family val="2"/>
    </font>
    <font>
      <sz val="8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b/>
      <u/>
      <sz val="8"/>
      <color indexed="9"/>
      <name val="Calibri"/>
      <family val="2"/>
    </font>
    <font>
      <b/>
      <sz val="9"/>
      <color indexed="34"/>
      <name val="Calibri"/>
      <family val="2"/>
    </font>
    <font>
      <i/>
      <sz val="10"/>
      <name val="Arial Narrow"/>
      <family val="2"/>
    </font>
    <font>
      <b/>
      <sz val="8"/>
      <color indexed="62"/>
      <name val="Arial Narrow"/>
      <family val="2"/>
    </font>
    <font>
      <b/>
      <sz val="8"/>
      <color indexed="63"/>
      <name val="Arial Narrow"/>
      <family val="2"/>
    </font>
    <font>
      <i/>
      <u/>
      <sz val="8"/>
      <color indexed="62"/>
      <name val="Arial Narrow"/>
      <family val="2"/>
    </font>
    <font>
      <sz val="10"/>
      <color indexed="9"/>
      <name val="Calibri"/>
      <family val="2"/>
    </font>
    <font>
      <b/>
      <u/>
      <sz val="10"/>
      <color indexed="9"/>
      <name val="Calibri"/>
      <family val="2"/>
    </font>
    <font>
      <b/>
      <sz val="9"/>
      <color indexed="9"/>
      <name val="Calibri"/>
      <family val="2"/>
    </font>
    <font>
      <b/>
      <sz val="9"/>
      <color indexed="62"/>
      <name val="Arial Narrow"/>
      <family val="2"/>
    </font>
    <font>
      <sz val="6"/>
      <color indexed="62"/>
      <name val="Arial Narrow"/>
      <family val="2"/>
    </font>
    <font>
      <i/>
      <sz val="8"/>
      <color indexed="12"/>
      <name val="Arial Narrow"/>
      <family val="2"/>
    </font>
    <font>
      <b/>
      <sz val="8"/>
      <color indexed="30"/>
      <name val="Arial Narrow"/>
      <family val="2"/>
    </font>
    <font>
      <b/>
      <i/>
      <sz val="8"/>
      <color indexed="12"/>
      <name val="Calibri"/>
      <family val="2"/>
    </font>
    <font>
      <i/>
      <sz val="8"/>
      <color indexed="12"/>
      <name val="Calibri"/>
      <family val="2"/>
    </font>
    <font>
      <b/>
      <i/>
      <sz val="9"/>
      <color indexed="9"/>
      <name val="Calibri"/>
      <family val="2"/>
    </font>
    <font>
      <b/>
      <i/>
      <sz val="8"/>
      <color indexed="9"/>
      <name val="Arial Narrow"/>
      <family val="2"/>
    </font>
    <font>
      <b/>
      <sz val="8"/>
      <color indexed="12"/>
      <name val="Arial Narrow"/>
      <family val="2"/>
    </font>
    <font>
      <b/>
      <i/>
      <sz val="8"/>
      <color indexed="12"/>
      <name val="Arial Narrow"/>
      <family val="2"/>
    </font>
    <font>
      <sz val="10"/>
      <color indexed="12"/>
      <name val="Arial Narrow"/>
      <family val="2"/>
    </font>
    <font>
      <b/>
      <u/>
      <sz val="11"/>
      <color indexed="34"/>
      <name val="Calibri"/>
      <family val="2"/>
    </font>
    <font>
      <b/>
      <sz val="6"/>
      <color indexed="62"/>
      <name val="Arial Narrow"/>
      <family val="2"/>
    </font>
    <font>
      <b/>
      <sz val="8"/>
      <color rgb="FF0000CC"/>
      <name val="Arial Narrow"/>
      <family val="2"/>
    </font>
    <font>
      <sz val="8"/>
      <color rgb="FF0000CC"/>
      <name val="Arial Narrow"/>
      <family val="2"/>
    </font>
    <font>
      <sz val="8"/>
      <color rgb="FFFF0000"/>
      <name val="Arial Narrow"/>
      <family val="2"/>
    </font>
    <font>
      <sz val="8"/>
      <color theme="4" tint="-0.249977111117893"/>
      <name val="Arial Narrow"/>
      <family val="2"/>
    </font>
    <font>
      <b/>
      <i/>
      <sz val="22"/>
      <color theme="3" tint="-0.249977111117893"/>
      <name val="Arial Narrow"/>
      <family val="2"/>
    </font>
    <font>
      <b/>
      <i/>
      <sz val="18"/>
      <color theme="3" tint="-0.249977111117893"/>
      <name val="Arial Narrow"/>
      <family val="2"/>
    </font>
    <font>
      <sz val="40"/>
      <color theme="3" tint="-0.249977111117893"/>
      <name val="Arial Narrow"/>
      <family val="2"/>
    </font>
    <font>
      <sz val="22"/>
      <color theme="3" tint="-0.249977111117893"/>
      <name val="Arial Narrow"/>
      <family val="2"/>
    </font>
    <font>
      <sz val="8"/>
      <color theme="3" tint="-0.249977111117893"/>
      <name val="Arial Narrow"/>
      <family val="2"/>
    </font>
    <font>
      <b/>
      <sz val="8"/>
      <color theme="3" tint="-0.249977111117893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3" tint="-0.24994659260841701"/>
      <name val="Arial Narrow"/>
      <family val="2"/>
    </font>
    <font>
      <i/>
      <sz val="8"/>
      <color theme="3" tint="-0.249977111117893"/>
      <name val="Arial Narrow"/>
      <family val="2"/>
    </font>
    <font>
      <i/>
      <sz val="6"/>
      <color theme="3" tint="-0.249977111117893"/>
      <name val="Arial Narrow"/>
      <family val="2"/>
    </font>
    <font>
      <sz val="8"/>
      <color theme="0" tint="-0.249977111117893"/>
      <name val="Arial Narrow"/>
      <family val="2"/>
    </font>
    <font>
      <sz val="8"/>
      <color rgb="FF00B0F0"/>
      <name val="Arial Narrow"/>
      <family val="2"/>
    </font>
    <font>
      <i/>
      <sz val="9"/>
      <color theme="3" tint="-0.249977111117893"/>
      <name val="Arial Narrow"/>
      <family val="2"/>
    </font>
    <font>
      <sz val="9"/>
      <color theme="3" tint="-0.249977111117893"/>
      <name val="Arial Narrow"/>
      <family val="2"/>
    </font>
    <font>
      <b/>
      <sz val="9"/>
      <color rgb="FF0000CC"/>
      <name val="Arial Narrow"/>
      <family val="2"/>
    </font>
    <font>
      <i/>
      <sz val="9"/>
      <color rgb="FF0000CC"/>
      <name val="Arial Narrow"/>
      <family val="2"/>
    </font>
    <font>
      <b/>
      <sz val="8"/>
      <color rgb="FF0000CC"/>
      <name val="Calibri"/>
      <family val="2"/>
      <scheme val="minor"/>
    </font>
    <font>
      <b/>
      <sz val="12"/>
      <color theme="0"/>
      <name val="Arial Narrow"/>
      <family val="2"/>
    </font>
    <font>
      <sz val="8"/>
      <color theme="0"/>
      <name val="Arial Narrow"/>
      <family val="2"/>
    </font>
    <font>
      <b/>
      <sz val="8"/>
      <color theme="0"/>
      <name val="Arial Narrow"/>
      <family val="2"/>
    </font>
    <font>
      <i/>
      <sz val="8"/>
      <color theme="0"/>
      <name val="Arial Narrow"/>
      <family val="2"/>
    </font>
    <font>
      <i/>
      <sz val="8"/>
      <color rgb="FF0000CC"/>
      <name val="Arial Narrow"/>
      <family val="2"/>
    </font>
    <font>
      <b/>
      <sz val="9"/>
      <color theme="0"/>
      <name val="Arial Narrow"/>
      <family val="2"/>
    </font>
    <font>
      <sz val="6"/>
      <color theme="0"/>
      <name val="Arial Narrow"/>
      <family val="2"/>
    </font>
    <font>
      <i/>
      <sz val="6"/>
      <color theme="0"/>
      <name val="Arial Narrow"/>
      <family val="2"/>
    </font>
    <font>
      <sz val="10"/>
      <color rgb="FF0000CC"/>
      <name val="Arial Narrow"/>
      <family val="2"/>
    </font>
    <font>
      <b/>
      <sz val="8"/>
      <color rgb="FF0070C0"/>
      <name val="Arial Narrow"/>
      <family val="2"/>
    </font>
    <font>
      <b/>
      <sz val="9"/>
      <color theme="4" tint="-0.249977111117893"/>
      <name val="Arial Narrow"/>
      <family val="2"/>
    </font>
    <font>
      <sz val="9"/>
      <color theme="4" tint="-0.249977111117893"/>
      <name val="Arial Narrow"/>
      <family val="2"/>
    </font>
    <font>
      <b/>
      <sz val="12"/>
      <color theme="4" tint="-0.499984740745262"/>
      <name val="Arial Narrow"/>
      <family val="2"/>
    </font>
    <font>
      <sz val="8"/>
      <color theme="0"/>
      <name val="Calibri"/>
      <family val="2"/>
      <scheme val="minor"/>
    </font>
    <font>
      <b/>
      <sz val="12"/>
      <color theme="3" tint="-0.249977111117893"/>
      <name val="Arial Narrow"/>
      <family val="2"/>
    </font>
    <font>
      <b/>
      <i/>
      <sz val="8"/>
      <color theme="3" tint="-0.249977111117893"/>
      <name val="Arial Narrow"/>
      <family val="2"/>
    </font>
    <font>
      <b/>
      <sz val="10"/>
      <color theme="0"/>
      <name val="Arial Narrow"/>
      <family val="2"/>
    </font>
    <font>
      <sz val="14"/>
      <color theme="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5">
    <xf numFmtId="0" fontId="0" fillId="0" borderId="0" xfId="0"/>
    <xf numFmtId="0" fontId="18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2" fillId="0" borderId="0" xfId="2" applyFont="1" applyProtection="1"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1" fillId="0" borderId="0" xfId="2" applyFont="1" applyAlignment="1" applyProtection="1">
      <alignment vertical="center" wrapText="1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3" xfId="0" applyNumberFormat="1" applyFont="1" applyBorder="1" applyAlignment="1" applyProtection="1">
      <alignment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4" xfId="0" applyNumberFormat="1" applyFont="1" applyFill="1" applyBorder="1"/>
    <xf numFmtId="167" fontId="5" fillId="0" borderId="3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3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27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5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23" fillId="0" borderId="0" xfId="0" applyFont="1" applyAlignment="1">
      <alignment horizontal="left"/>
    </xf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5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9" fontId="14" fillId="0" borderId="0" xfId="5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4" xfId="0" applyNumberFormat="1" applyFont="1" applyFill="1" applyBorder="1" applyAlignment="1">
      <alignment vertical="center"/>
    </xf>
    <xf numFmtId="0" fontId="5" fillId="0" borderId="0" xfId="0" applyFont="1" applyAlignment="1">
      <alignment horizontal="left" indent="1"/>
    </xf>
    <xf numFmtId="0" fontId="23" fillId="3" borderId="0" xfId="0" applyFont="1" applyFill="1" applyAlignment="1">
      <alignment horizontal="left"/>
    </xf>
    <xf numFmtId="0" fontId="4" fillId="0" borderId="0" xfId="0" applyFont="1"/>
    <xf numFmtId="0" fontId="6" fillId="2" borderId="9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9" xfId="0" applyFont="1" applyFill="1" applyBorder="1"/>
    <xf numFmtId="0" fontId="5" fillId="2" borderId="9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5" xfId="0" applyFont="1" applyFill="1" applyBorder="1"/>
    <xf numFmtId="167" fontId="6" fillId="2" borderId="4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0" xfId="0" applyFont="1" applyFill="1" applyBorder="1"/>
    <xf numFmtId="0" fontId="5" fillId="2" borderId="10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4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5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5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9" xfId="0" applyFont="1" applyFill="1" applyBorder="1" applyAlignment="1">
      <alignment horizontal="left" indent="1"/>
    </xf>
    <xf numFmtId="9" fontId="5" fillId="2" borderId="11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38" fontId="5" fillId="2" borderId="9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4" xfId="0" applyNumberFormat="1" applyFont="1" applyFill="1" applyBorder="1" applyAlignment="1">
      <alignment horizontal="right" vertical="center"/>
    </xf>
    <xf numFmtId="3" fontId="5" fillId="0" borderId="12" xfId="0" applyNumberFormat="1" applyFont="1" applyBorder="1" applyAlignment="1">
      <alignment horizontal="center"/>
    </xf>
    <xf numFmtId="3" fontId="5" fillId="0" borderId="12" xfId="0" applyNumberFormat="1" applyFont="1" applyBorder="1"/>
    <xf numFmtId="0" fontId="6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2" xfId="0" applyFont="1" applyBorder="1" applyAlignment="1">
      <alignment horizontal="left" indent="2"/>
    </xf>
    <xf numFmtId="0" fontId="24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2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5" xfId="3" applyFont="1" applyFill="1" applyBorder="1"/>
    <xf numFmtId="0" fontId="5" fillId="2" borderId="8" xfId="3" applyFont="1" applyFill="1" applyBorder="1"/>
    <xf numFmtId="0" fontId="5" fillId="2" borderId="5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4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13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27" fillId="2" borderId="2" xfId="3" applyNumberFormat="1" applyFont="1" applyFill="1" applyBorder="1"/>
    <xf numFmtId="0" fontId="11" fillId="2" borderId="5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13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3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1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0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0" fontId="15" fillId="0" borderId="0" xfId="0" applyFont="1"/>
    <xf numFmtId="0" fontId="15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9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5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6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4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28" fillId="3" borderId="0" xfId="0" applyFont="1" applyFill="1"/>
    <xf numFmtId="169" fontId="28" fillId="3" borderId="0" xfId="0" applyNumberFormat="1" applyFont="1" applyFill="1"/>
    <xf numFmtId="174" fontId="28" fillId="3" borderId="0" xfId="0" applyNumberFormat="1" applyFont="1" applyFill="1"/>
    <xf numFmtId="3" fontId="28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19" fillId="0" borderId="0" xfId="7" applyNumberFormat="1" applyFont="1" applyFill="1" applyProtection="1"/>
    <xf numFmtId="40" fontId="19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19" fillId="0" borderId="0" xfId="7" applyNumberFormat="1" applyFont="1" applyFill="1" applyBorder="1" applyAlignment="1" applyProtection="1">
      <alignment horizontal="right"/>
    </xf>
    <xf numFmtId="165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4" borderId="2" xfId="0" applyNumberFormat="1" applyFont="1" applyFill="1" applyBorder="1" applyAlignment="1" applyProtection="1">
      <alignment vertical="center"/>
      <protection locked="0"/>
    </xf>
    <xf numFmtId="169" fontId="14" fillId="4" borderId="2" xfId="0" applyNumberFormat="1" applyFont="1" applyFill="1" applyBorder="1" applyAlignment="1" applyProtection="1">
      <alignment vertical="center"/>
      <protection locked="0"/>
    </xf>
    <xf numFmtId="169" fontId="5" fillId="4" borderId="2" xfId="0" applyNumberFormat="1" applyFont="1" applyFill="1" applyBorder="1" applyAlignment="1" applyProtection="1">
      <alignment vertical="center"/>
      <protection locked="0"/>
    </xf>
    <xf numFmtId="9" fontId="14" fillId="4" borderId="2" xfId="5" applyFont="1" applyFill="1" applyBorder="1" applyAlignment="1" applyProtection="1">
      <alignment vertical="center"/>
      <protection locked="0"/>
    </xf>
    <xf numFmtId="10" fontId="14" fillId="4" borderId="2" xfId="5" applyNumberFormat="1" applyFont="1" applyFill="1" applyBorder="1" applyAlignment="1" applyProtection="1">
      <alignment vertical="center"/>
      <protection locked="0"/>
    </xf>
    <xf numFmtId="172" fontId="14" fillId="4" borderId="2" xfId="0" applyNumberFormat="1" applyFont="1" applyFill="1" applyBorder="1" applyAlignment="1" applyProtection="1">
      <alignment vertical="center"/>
      <protection locked="0"/>
    </xf>
    <xf numFmtId="172" fontId="5" fillId="4" borderId="2" xfId="0" applyNumberFormat="1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19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19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1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0" fontId="5" fillId="2" borderId="5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" fontId="30" fillId="2" borderId="2" xfId="3" applyNumberFormat="1" applyFont="1" applyFill="1" applyBorder="1" applyAlignment="1">
      <alignment horizontal="right"/>
    </xf>
    <xf numFmtId="3" fontId="27" fillId="2" borderId="2" xfId="3" applyNumberFormat="1" applyFont="1" applyFill="1" applyBorder="1" applyAlignment="1">
      <alignment horizontal="right"/>
    </xf>
    <xf numFmtId="3" fontId="6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1" fillId="2" borderId="2" xfId="3" applyNumberFormat="1" applyFont="1" applyFill="1" applyBorder="1"/>
    <xf numFmtId="10" fontId="32" fillId="2" borderId="2" xfId="5" applyNumberFormat="1" applyFont="1" applyFill="1" applyBorder="1"/>
    <xf numFmtId="169" fontId="33" fillId="2" borderId="3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3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3" xfId="0" applyNumberFormat="1" applyFont="1" applyFill="1" applyBorder="1"/>
    <xf numFmtId="0" fontId="6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4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vertical="center"/>
    </xf>
    <xf numFmtId="4" fontId="6" fillId="2" borderId="4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horizontal="left"/>
    </xf>
    <xf numFmtId="0" fontId="6" fillId="2" borderId="15" xfId="0" applyFont="1" applyFill="1" applyBorder="1"/>
    <xf numFmtId="172" fontId="5" fillId="4" borderId="2" xfId="0" applyNumberFormat="1" applyFont="1" applyFill="1" applyBorder="1" applyAlignment="1">
      <alignment horizontal="right"/>
    </xf>
    <xf numFmtId="172" fontId="6" fillId="4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4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5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5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1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169" fontId="33" fillId="2" borderId="37" xfId="3" applyNumberFormat="1" applyFont="1" applyFill="1" applyBorder="1"/>
    <xf numFmtId="169" fontId="5" fillId="2" borderId="37" xfId="3" quotePrefix="1" applyNumberFormat="1" applyFont="1" applyFill="1" applyBorder="1"/>
    <xf numFmtId="0" fontId="34" fillId="3" borderId="0" xfId="2" applyFont="1" applyFill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0" fontId="14" fillId="0" borderId="4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0" fontId="67" fillId="6" borderId="0" xfId="0" applyFont="1" applyFill="1"/>
    <xf numFmtId="3" fontId="6" fillId="6" borderId="36" xfId="5" applyNumberFormat="1" applyFont="1" applyFill="1" applyBorder="1" applyAlignment="1">
      <alignment horizontal="center" vertical="center"/>
    </xf>
    <xf numFmtId="0" fontId="68" fillId="7" borderId="0" xfId="0" applyFont="1" applyFill="1"/>
    <xf numFmtId="169" fontId="5" fillId="8" borderId="37" xfId="3" applyNumberFormat="1" applyFont="1" applyFill="1" applyBorder="1"/>
    <xf numFmtId="4" fontId="5" fillId="3" borderId="1" xfId="0" quotePrefix="1" applyNumberFormat="1" applyFont="1" applyFill="1" applyBorder="1"/>
    <xf numFmtId="172" fontId="6" fillId="9" borderId="21" xfId="0" applyNumberFormat="1" applyFont="1" applyFill="1" applyBorder="1" applyAlignment="1">
      <alignment horizontal="right"/>
    </xf>
    <xf numFmtId="0" fontId="5" fillId="2" borderId="21" xfId="0" applyFont="1" applyFill="1" applyBorder="1" applyProtection="1">
      <protection hidden="1"/>
    </xf>
    <xf numFmtId="3" fontId="5" fillId="2" borderId="2" xfId="3" applyNumberFormat="1" applyFont="1" applyFill="1" applyBorder="1" applyAlignment="1">
      <alignment horizontal="right"/>
    </xf>
    <xf numFmtId="3" fontId="5" fillId="2" borderId="2" xfId="3" applyNumberFormat="1" applyFont="1" applyFill="1" applyBorder="1"/>
    <xf numFmtId="0" fontId="69" fillId="2" borderId="37" xfId="3" applyFont="1" applyFill="1" applyBorder="1" applyAlignment="1">
      <alignment horizontal="left" indent="2"/>
    </xf>
    <xf numFmtId="10" fontId="69" fillId="2" borderId="37" xfId="6" applyNumberFormat="1" applyFont="1" applyFill="1" applyBorder="1" applyProtection="1"/>
    <xf numFmtId="169" fontId="69" fillId="2" borderId="37" xfId="3" applyNumberFormat="1" applyFont="1" applyFill="1" applyBorder="1"/>
    <xf numFmtId="3" fontId="6" fillId="2" borderId="37" xfId="3" applyNumberFormat="1" applyFont="1" applyFill="1" applyBorder="1"/>
    <xf numFmtId="0" fontId="69" fillId="2" borderId="37" xfId="3" applyFont="1" applyFill="1" applyBorder="1"/>
    <xf numFmtId="0" fontId="69" fillId="10" borderId="37" xfId="3" applyFont="1" applyFill="1" applyBorder="1"/>
    <xf numFmtId="169" fontId="5" fillId="10" borderId="37" xfId="3" applyNumberFormat="1" applyFont="1" applyFill="1" applyBorder="1"/>
    <xf numFmtId="169" fontId="5" fillId="11" borderId="37" xfId="3" quotePrefix="1" applyNumberFormat="1" applyFont="1" applyFill="1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6" fillId="2" borderId="8" xfId="0" applyFont="1" applyFill="1" applyBorder="1" applyAlignment="1">
      <alignment horizontal="right"/>
    </xf>
    <xf numFmtId="3" fontId="6" fillId="0" borderId="0" xfId="5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/>
    <xf numFmtId="0" fontId="38" fillId="3" borderId="0" xfId="0" applyFont="1" applyFill="1"/>
    <xf numFmtId="10" fontId="38" fillId="0" borderId="0" xfId="0" applyNumberFormat="1" applyFont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0" fillId="0" borderId="0" xfId="0" applyFont="1" applyProtection="1">
      <protection hidden="1"/>
    </xf>
    <xf numFmtId="169" fontId="5" fillId="10" borderId="0" xfId="3" applyNumberFormat="1" applyFont="1" applyFill="1"/>
    <xf numFmtId="0" fontId="24" fillId="2" borderId="8" xfId="0" applyFont="1" applyFill="1" applyBorder="1" applyAlignment="1">
      <alignment horizontal="right" vertical="center" wrapText="1"/>
    </xf>
    <xf numFmtId="3" fontId="6" fillId="12" borderId="2" xfId="5" applyNumberFormat="1" applyFont="1" applyFill="1" applyBorder="1" applyAlignment="1" applyProtection="1">
      <alignment horizontal="center" vertical="center"/>
      <protection locked="0"/>
    </xf>
    <xf numFmtId="10" fontId="6" fillId="12" borderId="2" xfId="5" applyNumberFormat="1" applyFont="1" applyFill="1" applyBorder="1" applyAlignment="1">
      <alignment horizontal="center" vertical="center"/>
    </xf>
    <xf numFmtId="8" fontId="5" fillId="13" borderId="36" xfId="0" applyNumberFormat="1" applyFont="1" applyFill="1" applyBorder="1" applyAlignment="1" applyProtection="1">
      <alignment horizontal="center"/>
      <protection locked="0"/>
    </xf>
    <xf numFmtId="0" fontId="71" fillId="10" borderId="0" xfId="0" applyFont="1" applyFill="1" applyAlignment="1" applyProtection="1">
      <alignment horizontal="center" vertical="center" wrapText="1"/>
      <protection locked="0"/>
    </xf>
    <xf numFmtId="0" fontId="72" fillId="10" borderId="0" xfId="0" applyFont="1" applyFill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wrapText="1"/>
    </xf>
    <xf numFmtId="0" fontId="74" fillId="10" borderId="0" xfId="0" applyFont="1" applyFill="1" applyAlignment="1">
      <alignment horizontal="center"/>
    </xf>
    <xf numFmtId="9" fontId="75" fillId="0" borderId="0" xfId="5" applyFont="1" applyFill="1" applyProtection="1">
      <protection hidden="1"/>
    </xf>
    <xf numFmtId="9" fontId="75" fillId="0" borderId="0" xfId="5" applyFont="1" applyFill="1" applyAlignment="1" applyProtection="1">
      <alignment horizontal="center"/>
      <protection hidden="1"/>
    </xf>
    <xf numFmtId="2" fontId="76" fillId="0" borderId="0" xfId="5" applyNumberFormat="1" applyFont="1" applyFill="1" applyProtection="1">
      <protection hidden="1"/>
    </xf>
    <xf numFmtId="0" fontId="77" fillId="14" borderId="0" xfId="0" applyFont="1" applyFill="1" applyProtection="1">
      <protection hidden="1"/>
    </xf>
    <xf numFmtId="0" fontId="75" fillId="10" borderId="11" xfId="0" applyFont="1" applyFill="1" applyBorder="1" applyAlignment="1" applyProtection="1">
      <alignment horizontal="center"/>
      <protection locked="0"/>
    </xf>
    <xf numFmtId="0" fontId="76" fillId="10" borderId="8" xfId="0" applyFont="1" applyFill="1" applyBorder="1" applyAlignment="1" applyProtection="1">
      <alignment horizontal="center"/>
      <protection locked="0"/>
    </xf>
    <xf numFmtId="0" fontId="75" fillId="10" borderId="19" xfId="0" applyFont="1" applyFill="1" applyBorder="1" applyAlignment="1" applyProtection="1">
      <alignment horizontal="center"/>
      <protection locked="0"/>
    </xf>
    <xf numFmtId="0" fontId="75" fillId="10" borderId="2" xfId="0" applyFont="1" applyFill="1" applyBorder="1" applyAlignment="1" applyProtection="1">
      <alignment horizontal="center"/>
      <protection locked="0"/>
    </xf>
    <xf numFmtId="10" fontId="75" fillId="10" borderId="2" xfId="0" applyNumberFormat="1" applyFont="1" applyFill="1" applyBorder="1" applyAlignment="1" applyProtection="1">
      <alignment horizontal="center"/>
      <protection locked="0"/>
    </xf>
    <xf numFmtId="10" fontId="75" fillId="10" borderId="5" xfId="0" applyNumberFormat="1" applyFont="1" applyFill="1" applyBorder="1" applyAlignment="1" applyProtection="1">
      <alignment horizontal="center"/>
      <protection locked="0"/>
    </xf>
    <xf numFmtId="2" fontId="75" fillId="10" borderId="5" xfId="0" applyNumberFormat="1" applyFont="1" applyFill="1" applyBorder="1" applyAlignment="1" applyProtection="1">
      <alignment horizontal="center"/>
      <protection locked="0"/>
    </xf>
    <xf numFmtId="173" fontId="75" fillId="13" borderId="8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75" fillId="13" borderId="8" xfId="0" applyFont="1" applyFill="1" applyBorder="1" applyAlignment="1" applyProtection="1">
      <alignment horizontal="center"/>
      <protection hidden="1"/>
    </xf>
    <xf numFmtId="0" fontId="7" fillId="15" borderId="0" xfId="0" applyFont="1" applyFill="1" applyAlignment="1" applyProtection="1">
      <alignment horizontal="right"/>
      <protection hidden="1"/>
    </xf>
    <xf numFmtId="0" fontId="4" fillId="15" borderId="0" xfId="0" applyFont="1" applyFill="1" applyAlignment="1" applyProtection="1">
      <alignment horizontal="right"/>
      <protection locked="0"/>
    </xf>
    <xf numFmtId="0" fontId="8" fillId="15" borderId="2" xfId="2" applyFont="1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 vertical="center"/>
      <protection hidden="1"/>
    </xf>
    <xf numFmtId="0" fontId="7" fillId="15" borderId="0" xfId="0" applyFont="1" applyFill="1"/>
    <xf numFmtId="0" fontId="4" fillId="15" borderId="0" xfId="0" applyFont="1" applyFill="1" applyAlignment="1">
      <alignment horizontal="right"/>
    </xf>
    <xf numFmtId="10" fontId="75" fillId="0" borderId="2" xfId="5" applyNumberFormat="1" applyFont="1" applyFill="1" applyBorder="1" applyAlignment="1" applyProtection="1">
      <alignment horizontal="center" vertical="center"/>
      <protection locked="0"/>
    </xf>
    <xf numFmtId="10" fontId="75" fillId="2" borderId="4" xfId="5" applyNumberFormat="1" applyFont="1" applyFill="1" applyBorder="1" applyAlignment="1">
      <alignment horizontal="center" vertical="center"/>
    </xf>
    <xf numFmtId="0" fontId="78" fillId="0" borderId="0" xfId="0" applyFont="1"/>
    <xf numFmtId="0" fontId="78" fillId="2" borderId="4" xfId="0" applyFont="1" applyFill="1" applyBorder="1" applyAlignment="1">
      <alignment horizontal="left"/>
    </xf>
    <xf numFmtId="0" fontId="78" fillId="2" borderId="13" xfId="0" applyFont="1" applyFill="1" applyBorder="1"/>
    <xf numFmtId="10" fontId="77" fillId="2" borderId="4" xfId="5" applyNumberFormat="1" applyFont="1" applyFill="1" applyBorder="1" applyAlignment="1">
      <alignment horizontal="center" vertical="center"/>
    </xf>
    <xf numFmtId="0" fontId="78" fillId="2" borderId="2" xfId="0" applyFont="1" applyFill="1" applyBorder="1" applyAlignment="1">
      <alignment horizontal="center" vertical="center"/>
    </xf>
    <xf numFmtId="0" fontId="78" fillId="2" borderId="4" xfId="0" applyFont="1" applyFill="1" applyBorder="1" applyAlignment="1">
      <alignment horizontal="center"/>
    </xf>
    <xf numFmtId="10" fontId="75" fillId="0" borderId="2" xfId="5" applyNumberFormat="1" applyFont="1" applyFill="1" applyBorder="1" applyAlignment="1" applyProtection="1">
      <alignment horizontal="right" vertical="center"/>
      <protection locked="0"/>
    </xf>
    <xf numFmtId="0" fontId="5" fillId="2" borderId="2" xfId="0" applyFont="1" applyFill="1" applyBorder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indent="1"/>
    </xf>
    <xf numFmtId="0" fontId="7" fillId="15" borderId="0" xfId="0" applyFont="1" applyFill="1" applyAlignment="1">
      <alignment horizontal="left"/>
    </xf>
    <xf numFmtId="0" fontId="4" fillId="15" borderId="0" xfId="0" applyFont="1" applyFill="1"/>
    <xf numFmtId="167" fontId="75" fillId="0" borderId="3" xfId="0" applyNumberFormat="1" applyFont="1" applyBorder="1" applyAlignment="1" applyProtection="1">
      <alignment horizontal="center" vertical="center"/>
      <protection locked="0"/>
    </xf>
    <xf numFmtId="168" fontId="75" fillId="0" borderId="2" xfId="0" applyNumberFormat="1" applyFont="1" applyBorder="1" applyAlignment="1" applyProtection="1">
      <alignment horizontal="center"/>
      <protection locked="0"/>
    </xf>
    <xf numFmtId="168" fontId="75" fillId="2" borderId="2" xfId="0" applyNumberFormat="1" applyFont="1" applyFill="1" applyBorder="1"/>
    <xf numFmtId="0" fontId="6" fillId="2" borderId="2" xfId="0" applyFont="1" applyFill="1" applyBorder="1"/>
    <xf numFmtId="38" fontId="6" fillId="2" borderId="2" xfId="0" applyNumberFormat="1" applyFont="1" applyFill="1" applyBorder="1"/>
    <xf numFmtId="38" fontId="6" fillId="2" borderId="2" xfId="0" applyNumberFormat="1" applyFont="1" applyFill="1" applyBorder="1" applyAlignment="1">
      <alignment horizontal="left"/>
    </xf>
    <xf numFmtId="0" fontId="5" fillId="10" borderId="5" xfId="0" applyFont="1" applyFill="1" applyBorder="1"/>
    <xf numFmtId="0" fontId="6" fillId="10" borderId="9" xfId="0" applyFont="1" applyFill="1" applyBorder="1"/>
    <xf numFmtId="0" fontId="5" fillId="10" borderId="9" xfId="0" applyFont="1" applyFill="1" applyBorder="1"/>
    <xf numFmtId="0" fontId="5" fillId="14" borderId="5" xfId="0" applyFont="1" applyFill="1" applyBorder="1"/>
    <xf numFmtId="0" fontId="6" fillId="14" borderId="9" xfId="0" applyFont="1" applyFill="1" applyBorder="1"/>
    <xf numFmtId="0" fontId="5" fillId="14" borderId="9" xfId="0" applyFont="1" applyFill="1" applyBorder="1"/>
    <xf numFmtId="0" fontId="6" fillId="14" borderId="10" xfId="0" applyFont="1" applyFill="1" applyBorder="1"/>
    <xf numFmtId="0" fontId="5" fillId="14" borderId="10" xfId="0" applyFont="1" applyFill="1" applyBorder="1"/>
    <xf numFmtId="1" fontId="6" fillId="10" borderId="2" xfId="5" applyNumberFormat="1" applyFont="1" applyFill="1" applyBorder="1" applyAlignment="1" applyProtection="1">
      <alignment horizontal="center"/>
      <protection locked="0"/>
    </xf>
    <xf numFmtId="10" fontId="75" fillId="0" borderId="2" xfId="5" applyNumberFormat="1" applyFont="1" applyFill="1" applyBorder="1" applyProtection="1">
      <protection locked="0"/>
    </xf>
    <xf numFmtId="175" fontId="75" fillId="0" borderId="2" xfId="5" applyNumberFormat="1" applyFont="1" applyFill="1" applyBorder="1" applyProtection="1">
      <protection locked="0"/>
    </xf>
    <xf numFmtId="0" fontId="76" fillId="2" borderId="5" xfId="3" applyFont="1" applyFill="1" applyBorder="1" applyAlignment="1">
      <alignment horizontal="center"/>
    </xf>
    <xf numFmtId="3" fontId="5" fillId="10" borderId="2" xfId="5" applyNumberFormat="1" applyFont="1" applyFill="1" applyBorder="1" applyAlignment="1" applyProtection="1">
      <alignment horizontal="right" vertical="center"/>
      <protection locked="0"/>
    </xf>
    <xf numFmtId="0" fontId="8" fillId="15" borderId="0" xfId="0" applyFont="1" applyFill="1"/>
    <xf numFmtId="0" fontId="9" fillId="15" borderId="0" xfId="0" applyFont="1" applyFill="1"/>
    <xf numFmtId="169" fontId="75" fillId="3" borderId="0" xfId="0" applyNumberFormat="1" applyFont="1" applyFill="1"/>
    <xf numFmtId="169" fontId="79" fillId="3" borderId="0" xfId="0" applyNumberFormat="1" applyFont="1" applyFill="1"/>
    <xf numFmtId="40" fontId="80" fillId="0" borderId="0" xfId="7" applyNumberFormat="1" applyFont="1" applyFill="1" applyBorder="1" applyAlignment="1" applyProtection="1">
      <alignment horizontal="left"/>
    </xf>
    <xf numFmtId="0" fontId="81" fillId="0" borderId="0" xfId="0" applyFont="1" applyAlignment="1">
      <alignment vertical="top"/>
    </xf>
    <xf numFmtId="0" fontId="80" fillId="0" borderId="0" xfId="0" applyFont="1" applyAlignment="1">
      <alignment horizontal="center"/>
    </xf>
    <xf numFmtId="0" fontId="76" fillId="6" borderId="0" xfId="0" applyFont="1" applyFill="1"/>
    <xf numFmtId="0" fontId="75" fillId="7" borderId="0" xfId="0" applyFont="1" applyFill="1"/>
    <xf numFmtId="0" fontId="76" fillId="3" borderId="0" xfId="0" applyFont="1" applyFill="1" applyProtection="1">
      <protection locked="0"/>
    </xf>
    <xf numFmtId="0" fontId="76" fillId="0" borderId="0" xfId="0" applyFont="1"/>
    <xf numFmtId="0" fontId="9" fillId="15" borderId="0" xfId="0" applyFont="1" applyFill="1" applyAlignment="1">
      <alignment horizontal="right"/>
    </xf>
    <xf numFmtId="0" fontId="5" fillId="16" borderId="0" xfId="0" applyFont="1" applyFill="1"/>
    <xf numFmtId="3" fontId="6" fillId="13" borderId="2" xfId="5" applyNumberFormat="1" applyFont="1" applyFill="1" applyBorder="1" applyAlignment="1" applyProtection="1">
      <alignment horizontal="center" vertical="center"/>
      <protection locked="0"/>
    </xf>
    <xf numFmtId="3" fontId="82" fillId="0" borderId="0" xfId="5" applyNumberFormat="1" applyFont="1" applyFill="1" applyBorder="1" applyAlignment="1"/>
    <xf numFmtId="176" fontId="24" fillId="14" borderId="2" xfId="0" applyNumberFormat="1" applyFont="1" applyFill="1" applyBorder="1" applyAlignment="1">
      <alignment horizontal="center" vertical="center" wrapText="1"/>
    </xf>
    <xf numFmtId="10" fontId="5" fillId="2" borderId="2" xfId="0" applyNumberFormat="1" applyFont="1" applyFill="1" applyBorder="1" applyAlignment="1">
      <alignment horizontal="center" vertical="center" wrapText="1"/>
    </xf>
    <xf numFmtId="10" fontId="5" fillId="10" borderId="2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" xfId="0" applyNumberFormat="1" applyFont="1" applyFill="1" applyBorder="1" applyAlignment="1">
      <alignment horizontal="center" vertical="center" wrapText="1"/>
    </xf>
    <xf numFmtId="170" fontId="5" fillId="2" borderId="2" xfId="0" applyNumberFormat="1" applyFont="1" applyFill="1" applyBorder="1" applyAlignment="1">
      <alignment horizontal="center"/>
    </xf>
    <xf numFmtId="10" fontId="83" fillId="0" borderId="0" xfId="0" applyNumberFormat="1" applyFont="1"/>
    <xf numFmtId="0" fontId="6" fillId="2" borderId="8" xfId="0" applyFont="1" applyFill="1" applyBorder="1" applyAlignment="1">
      <alignment vertical="center" wrapText="1"/>
    </xf>
    <xf numFmtId="10" fontId="5" fillId="2" borderId="5" xfId="0" applyNumberFormat="1" applyFont="1" applyFill="1" applyBorder="1" applyAlignment="1">
      <alignment horizontal="center" vertical="center" wrapText="1"/>
    </xf>
    <xf numFmtId="10" fontId="5" fillId="12" borderId="36" xfId="0" applyNumberFormat="1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84" fillId="0" borderId="0" xfId="0" applyFont="1" applyAlignment="1">
      <alignment vertical="top"/>
    </xf>
    <xf numFmtId="0" fontId="85" fillId="0" borderId="0" xfId="0" applyFont="1" applyAlignment="1">
      <alignment vertical="top"/>
    </xf>
    <xf numFmtId="0" fontId="39" fillId="0" borderId="0" xfId="0" applyFont="1"/>
    <xf numFmtId="10" fontId="5" fillId="0" borderId="2" xfId="0" applyNumberFormat="1" applyFont="1" applyBorder="1" applyAlignment="1">
      <alignment horizontal="center"/>
    </xf>
    <xf numFmtId="0" fontId="6" fillId="2" borderId="15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67" fillId="2" borderId="5" xfId="0" applyFont="1" applyFill="1" applyBorder="1"/>
    <xf numFmtId="0" fontId="86" fillId="0" borderId="0" xfId="0" applyFont="1"/>
    <xf numFmtId="10" fontId="67" fillId="2" borderId="2" xfId="0" applyNumberFormat="1" applyFont="1" applyFill="1" applyBorder="1" applyAlignment="1">
      <alignment horizontal="center" vertical="center" wrapText="1"/>
    </xf>
    <xf numFmtId="10" fontId="67" fillId="2" borderId="5" xfId="0" applyNumberFormat="1" applyFont="1" applyFill="1" applyBorder="1" applyAlignment="1">
      <alignment horizontal="center" vertical="center" wrapText="1"/>
    </xf>
    <xf numFmtId="0" fontId="87" fillId="0" borderId="0" xfId="0" applyFont="1" applyAlignment="1">
      <alignment vertical="top"/>
    </xf>
    <xf numFmtId="0" fontId="5" fillId="13" borderId="8" xfId="0" applyFont="1" applyFill="1" applyBorder="1" applyAlignment="1">
      <alignment vertical="center" wrapText="1"/>
    </xf>
    <xf numFmtId="0" fontId="67" fillId="13" borderId="5" xfId="0" applyFont="1" applyFill="1" applyBorder="1"/>
    <xf numFmtId="0" fontId="88" fillId="13" borderId="5" xfId="0" applyFont="1" applyFill="1" applyBorder="1"/>
    <xf numFmtId="10" fontId="68" fillId="13" borderId="2" xfId="0" applyNumberFormat="1" applyFont="1" applyFill="1" applyBorder="1" applyAlignment="1">
      <alignment horizontal="center" vertical="center" wrapText="1"/>
    </xf>
    <xf numFmtId="0" fontId="68" fillId="13" borderId="8" xfId="0" applyFont="1" applyFill="1" applyBorder="1" applyAlignment="1">
      <alignment vertical="center" wrapText="1"/>
    </xf>
    <xf numFmtId="0" fontId="89" fillId="17" borderId="0" xfId="0" applyFont="1" applyFill="1"/>
    <xf numFmtId="0" fontId="90" fillId="17" borderId="0" xfId="0" applyFont="1" applyFill="1"/>
    <xf numFmtId="3" fontId="91" fillId="17" borderId="0" xfId="5" applyNumberFormat="1" applyFont="1" applyFill="1" applyBorder="1" applyAlignment="1">
      <alignment horizontal="right" vertical="center"/>
    </xf>
    <xf numFmtId="0" fontId="92" fillId="17" borderId="0" xfId="0" applyFont="1" applyFill="1" applyAlignment="1">
      <alignment horizontal="center"/>
    </xf>
    <xf numFmtId="10" fontId="93" fillId="0" borderId="0" xfId="0" applyNumberFormat="1" applyFont="1"/>
    <xf numFmtId="0" fontId="6" fillId="13" borderId="8" xfId="0" applyFont="1" applyFill="1" applyBorder="1" applyAlignment="1">
      <alignment vertical="center" wrapText="1"/>
    </xf>
    <xf numFmtId="10" fontId="67" fillId="13" borderId="2" xfId="0" applyNumberFormat="1" applyFont="1" applyFill="1" applyBorder="1" applyAlignment="1">
      <alignment horizontal="center" vertical="center" wrapText="1"/>
    </xf>
    <xf numFmtId="0" fontId="19" fillId="7" borderId="0" xfId="0" applyFont="1" applyFill="1"/>
    <xf numFmtId="0" fontId="94" fillId="18" borderId="0" xfId="0" applyFont="1" applyFill="1"/>
    <xf numFmtId="0" fontId="95" fillId="18" borderId="0" xfId="0" applyFont="1" applyFill="1"/>
    <xf numFmtId="10" fontId="95" fillId="18" borderId="0" xfId="0" applyNumberFormat="1" applyFont="1" applyFill="1"/>
    <xf numFmtId="0" fontId="96" fillId="18" borderId="0" xfId="0" applyFont="1" applyFill="1" applyAlignment="1">
      <alignment vertical="top"/>
    </xf>
    <xf numFmtId="0" fontId="91" fillId="5" borderId="5" xfId="0" applyFont="1" applyFill="1" applyBorder="1"/>
    <xf numFmtId="0" fontId="91" fillId="5" borderId="8" xfId="0" applyFont="1" applyFill="1" applyBorder="1" applyAlignment="1">
      <alignment vertical="center" wrapText="1"/>
    </xf>
    <xf numFmtId="177" fontId="90" fillId="5" borderId="2" xfId="0" applyNumberFormat="1" applyFont="1" applyFill="1" applyBorder="1" applyAlignment="1">
      <alignment horizontal="center" vertical="center" wrapText="1"/>
    </xf>
    <xf numFmtId="177" fontId="90" fillId="5" borderId="2" xfId="0" applyNumberFormat="1" applyFont="1" applyFill="1" applyBorder="1" applyAlignment="1">
      <alignment horizontal="center"/>
    </xf>
    <xf numFmtId="0" fontId="91" fillId="5" borderId="5" xfId="0" applyFont="1" applyFill="1" applyBorder="1" applyAlignment="1">
      <alignment horizontal="left"/>
    </xf>
    <xf numFmtId="0" fontId="91" fillId="5" borderId="8" xfId="0" applyFont="1" applyFill="1" applyBorder="1" applyAlignment="1">
      <alignment horizontal="center"/>
    </xf>
    <xf numFmtId="10" fontId="90" fillId="5" borderId="2" xfId="0" applyNumberFormat="1" applyFont="1" applyFill="1" applyBorder="1"/>
    <xf numFmtId="0" fontId="90" fillId="5" borderId="8" xfId="0" applyFont="1" applyFill="1" applyBorder="1" applyAlignment="1">
      <alignment vertical="center" wrapText="1"/>
    </xf>
    <xf numFmtId="10" fontId="91" fillId="5" borderId="2" xfId="0" applyNumberFormat="1" applyFont="1" applyFill="1" applyBorder="1" applyAlignment="1">
      <alignment horizontal="center" vertical="center" wrapText="1"/>
    </xf>
    <xf numFmtId="10" fontId="91" fillId="5" borderId="5" xfId="0" applyNumberFormat="1" applyFont="1" applyFill="1" applyBorder="1" applyAlignment="1">
      <alignment horizontal="center" vertical="center" wrapText="1"/>
    </xf>
    <xf numFmtId="3" fontId="6" fillId="6" borderId="2" xfId="5" applyNumberFormat="1" applyFont="1" applyFill="1" applyBorder="1" applyAlignment="1" applyProtection="1">
      <alignment horizontal="center" vertical="center"/>
      <protection locked="0"/>
    </xf>
    <xf numFmtId="40" fontId="5" fillId="0" borderId="0" xfId="7" applyNumberFormat="1" applyFont="1" applyFill="1" applyAlignment="1" applyProtection="1">
      <alignment horizontal="center"/>
    </xf>
    <xf numFmtId="176" fontId="6" fillId="6" borderId="2" xfId="5" applyNumberFormat="1" applyFont="1" applyFill="1" applyBorder="1" applyAlignment="1" applyProtection="1">
      <alignment horizontal="center" vertical="center"/>
      <protection locked="0"/>
    </xf>
    <xf numFmtId="0" fontId="5" fillId="10" borderId="5" xfId="0" applyFont="1" applyFill="1" applyBorder="1" applyProtection="1">
      <protection locked="0"/>
    </xf>
    <xf numFmtId="0" fontId="6" fillId="10" borderId="9" xfId="0" applyFont="1" applyFill="1" applyBorder="1" applyProtection="1">
      <protection locked="0"/>
    </xf>
    <xf numFmtId="0" fontId="5" fillId="10" borderId="9" xfId="0" applyFont="1" applyFill="1" applyBorder="1" applyProtection="1">
      <protection locked="0"/>
    </xf>
    <xf numFmtId="0" fontId="6" fillId="0" borderId="9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6" fillId="0" borderId="10" xfId="0" applyFont="1" applyBorder="1" applyProtection="1">
      <protection locked="0"/>
    </xf>
    <xf numFmtId="0" fontId="5" fillId="0" borderId="10" xfId="0" applyFont="1" applyBorder="1" applyProtection="1">
      <protection locked="0"/>
    </xf>
    <xf numFmtId="9" fontId="14" fillId="2" borderId="2" xfId="5" applyFont="1" applyFill="1" applyBorder="1" applyAlignment="1" applyProtection="1">
      <alignment horizontal="center" vertical="center"/>
      <protection locked="0"/>
    </xf>
    <xf numFmtId="4" fontId="14" fillId="14" borderId="2" xfId="5" applyNumberFormat="1" applyFont="1" applyFill="1" applyBorder="1" applyAlignment="1">
      <alignment horizontal="center"/>
    </xf>
    <xf numFmtId="0" fontId="97" fillId="10" borderId="0" xfId="0" applyFont="1" applyFill="1" applyAlignment="1">
      <alignment horizontal="center" vertical="center" wrapText="1"/>
    </xf>
    <xf numFmtId="0" fontId="5" fillId="13" borderId="0" xfId="0" applyFont="1" applyFill="1" applyProtection="1">
      <protection hidden="1"/>
    </xf>
    <xf numFmtId="0" fontId="5" fillId="13" borderId="0" xfId="0" applyFont="1" applyFill="1" applyAlignment="1" applyProtection="1">
      <alignment horizontal="center"/>
      <protection hidden="1"/>
    </xf>
    <xf numFmtId="0" fontId="86" fillId="2" borderId="5" xfId="0" applyFont="1" applyFill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167" fontId="75" fillId="13" borderId="3" xfId="0" applyNumberFormat="1" applyFont="1" applyFill="1" applyBorder="1" applyAlignment="1" applyProtection="1">
      <alignment horizontal="center" vertical="center"/>
      <protection locked="0"/>
    </xf>
    <xf numFmtId="10" fontId="75" fillId="13" borderId="2" xfId="5" applyNumberFormat="1" applyFont="1" applyFill="1" applyBorder="1" applyAlignment="1" applyProtection="1">
      <alignment horizontal="center" vertical="center"/>
      <protection locked="0"/>
    </xf>
    <xf numFmtId="167" fontId="14" fillId="13" borderId="3" xfId="0" applyNumberFormat="1" applyFont="1" applyFill="1" applyBorder="1" applyAlignment="1" applyProtection="1">
      <alignment horizontal="center" vertical="center"/>
      <protection locked="0"/>
    </xf>
    <xf numFmtId="0" fontId="5" fillId="14" borderId="15" xfId="0" applyFont="1" applyFill="1" applyBorder="1"/>
    <xf numFmtId="0" fontId="6" fillId="14" borderId="12" xfId="0" applyFont="1" applyFill="1" applyBorder="1"/>
    <xf numFmtId="0" fontId="5" fillId="14" borderId="12" xfId="0" applyFont="1" applyFill="1" applyBorder="1"/>
    <xf numFmtId="3" fontId="5" fillId="6" borderId="2" xfId="0" applyNumberFormat="1" applyFont="1" applyFill="1" applyBorder="1" applyProtection="1">
      <protection locked="0"/>
    </xf>
    <xf numFmtId="2" fontId="5" fillId="6" borderId="36" xfId="0" applyNumberFormat="1" applyFont="1" applyFill="1" applyBorder="1" applyAlignment="1" applyProtection="1">
      <alignment horizontal="center"/>
      <protection locked="0"/>
    </xf>
    <xf numFmtId="10" fontId="75" fillId="6" borderId="36" xfId="0" applyNumberFormat="1" applyFont="1" applyFill="1" applyBorder="1" applyAlignment="1" applyProtection="1">
      <alignment horizontal="center"/>
      <protection locked="0"/>
    </xf>
    <xf numFmtId="10" fontId="29" fillId="6" borderId="36" xfId="0" applyNumberFormat="1" applyFont="1" applyFill="1" applyBorder="1" applyAlignment="1" applyProtection="1">
      <alignment horizontal="center"/>
      <protection locked="0"/>
    </xf>
    <xf numFmtId="3" fontId="6" fillId="19" borderId="2" xfId="5" applyNumberFormat="1" applyFont="1" applyFill="1" applyBorder="1" applyAlignment="1">
      <alignment horizontal="center" vertical="center"/>
    </xf>
    <xf numFmtId="10" fontId="5" fillId="19" borderId="36" xfId="0" applyNumberFormat="1" applyFont="1" applyFill="1" applyBorder="1" applyAlignment="1">
      <alignment horizontal="center" vertical="center" wrapText="1"/>
    </xf>
    <xf numFmtId="170" fontId="5" fillId="19" borderId="2" xfId="0" quotePrefix="1" applyNumberFormat="1" applyFont="1" applyFill="1" applyBorder="1" applyAlignment="1">
      <alignment horizontal="center"/>
    </xf>
    <xf numFmtId="10" fontId="68" fillId="19" borderId="2" xfId="0" applyNumberFormat="1" applyFont="1" applyFill="1" applyBorder="1" applyAlignment="1">
      <alignment horizontal="center" vertical="center" wrapText="1"/>
    </xf>
    <xf numFmtId="0" fontId="98" fillId="7" borderId="0" xfId="0" applyFont="1" applyFill="1"/>
    <xf numFmtId="0" fontId="6" fillId="20" borderId="5" xfId="0" applyFont="1" applyFill="1" applyBorder="1" applyAlignment="1">
      <alignment horizontal="left"/>
    </xf>
    <xf numFmtId="3" fontId="6" fillId="20" borderId="8" xfId="0" applyNumberFormat="1" applyFont="1" applyFill="1" applyBorder="1" applyAlignment="1">
      <alignment horizontal="center"/>
    </xf>
    <xf numFmtId="3" fontId="68" fillId="20" borderId="2" xfId="0" applyNumberFormat="1" applyFont="1" applyFill="1" applyBorder="1"/>
    <xf numFmtId="3" fontId="5" fillId="20" borderId="2" xfId="0" applyNumberFormat="1" applyFont="1" applyFill="1" applyBorder="1"/>
    <xf numFmtId="0" fontId="6" fillId="20" borderId="5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10" fontId="5" fillId="20" borderId="2" xfId="0" applyNumberFormat="1" applyFont="1" applyFill="1" applyBorder="1"/>
    <xf numFmtId="0" fontId="99" fillId="0" borderId="0" xfId="2" applyFont="1" applyAlignment="1" applyProtection="1">
      <alignment horizontal="right" vertical="top" wrapText="1"/>
      <protection hidden="1"/>
    </xf>
    <xf numFmtId="0" fontId="100" fillId="0" borderId="0" xfId="2" applyFont="1" applyAlignment="1" applyProtection="1">
      <alignment horizontal="right" vertical="top" wrapText="1"/>
      <protection hidden="1"/>
    </xf>
    <xf numFmtId="0" fontId="20" fillId="0" borderId="0" xfId="2" applyFont="1" applyAlignment="1" applyProtection="1">
      <alignment horizontal="left" wrapText="1"/>
      <protection hidden="1"/>
    </xf>
    <xf numFmtId="0" fontId="101" fillId="0" borderId="38" xfId="2" applyFont="1" applyBorder="1" applyAlignment="1" applyProtection="1">
      <alignment horizontal="center"/>
      <protection hidden="1"/>
    </xf>
    <xf numFmtId="0" fontId="20" fillId="0" borderId="0" xfId="2" applyFont="1" applyAlignment="1" applyProtection="1">
      <alignment horizontal="left"/>
      <protection hidden="1"/>
    </xf>
    <xf numFmtId="0" fontId="35" fillId="0" borderId="0" xfId="2" applyFont="1" applyAlignment="1" applyProtection="1">
      <alignment horizontal="center" vertical="center" wrapText="1"/>
      <protection hidden="1"/>
    </xf>
    <xf numFmtId="0" fontId="102" fillId="21" borderId="0" xfId="0" applyFont="1" applyFill="1" applyAlignment="1" applyProtection="1">
      <alignment horizontal="justify" vertical="center" wrapText="1"/>
      <protection locked="0"/>
    </xf>
    <xf numFmtId="0" fontId="67" fillId="8" borderId="0" xfId="0" applyFont="1" applyFill="1" applyAlignment="1">
      <alignment horizontal="center"/>
    </xf>
    <xf numFmtId="0" fontId="103" fillId="0" borderId="38" xfId="0" applyFont="1" applyBorder="1" applyAlignment="1" applyProtection="1">
      <alignment horizontal="center"/>
      <protection hidden="1"/>
    </xf>
    <xf numFmtId="0" fontId="75" fillId="13" borderId="5" xfId="0" applyFont="1" applyFill="1" applyBorder="1" applyProtection="1">
      <protection hidden="1"/>
    </xf>
    <xf numFmtId="0" fontId="75" fillId="13" borderId="9" xfId="0" applyFont="1" applyFill="1" applyBorder="1" applyProtection="1">
      <protection hidden="1"/>
    </xf>
    <xf numFmtId="0" fontId="75" fillId="13" borderId="8" xfId="0" applyFont="1" applyFill="1" applyBorder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75" fillId="13" borderId="6" xfId="0" applyFont="1" applyFill="1" applyBorder="1" applyAlignment="1" applyProtection="1">
      <alignment horizontal="justify"/>
      <protection hidden="1"/>
    </xf>
    <xf numFmtId="0" fontId="75" fillId="13" borderId="10" xfId="0" applyFont="1" applyFill="1" applyBorder="1" applyAlignment="1" applyProtection="1">
      <alignment horizontal="justify"/>
      <protection hidden="1"/>
    </xf>
    <xf numFmtId="0" fontId="75" fillId="13" borderId="11" xfId="0" applyFont="1" applyFill="1" applyBorder="1" applyAlignment="1" applyProtection="1">
      <alignment horizontal="justify"/>
      <protection hidden="1"/>
    </xf>
    <xf numFmtId="0" fontId="75" fillId="13" borderId="18" xfId="0" applyFont="1" applyFill="1" applyBorder="1" applyAlignment="1" applyProtection="1">
      <alignment horizontal="justify"/>
      <protection hidden="1"/>
    </xf>
    <xf numFmtId="0" fontId="75" fillId="13" borderId="0" xfId="0" applyFont="1" applyFill="1" applyAlignment="1" applyProtection="1">
      <alignment horizontal="justify"/>
      <protection hidden="1"/>
    </xf>
    <xf numFmtId="0" fontId="75" fillId="13" borderId="39" xfId="0" applyFont="1" applyFill="1" applyBorder="1" applyAlignment="1" applyProtection="1">
      <alignment horizontal="justify"/>
      <protection hidden="1"/>
    </xf>
    <xf numFmtId="0" fontId="75" fillId="13" borderId="15" xfId="0" applyFont="1" applyFill="1" applyBorder="1" applyAlignment="1" applyProtection="1">
      <alignment horizontal="justify"/>
      <protection hidden="1"/>
    </xf>
    <xf numFmtId="0" fontId="75" fillId="13" borderId="12" xfId="0" applyFont="1" applyFill="1" applyBorder="1" applyAlignment="1" applyProtection="1">
      <alignment horizontal="justify"/>
      <protection hidden="1"/>
    </xf>
    <xf numFmtId="0" fontId="75" fillId="13" borderId="19" xfId="0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vertical="center"/>
      <protection hidden="1"/>
    </xf>
    <xf numFmtId="9" fontId="75" fillId="13" borderId="18" xfId="5" applyFont="1" applyFill="1" applyBorder="1" applyAlignment="1" applyProtection="1">
      <alignment horizontal="justify" vertical="center"/>
      <protection hidden="1"/>
    </xf>
    <xf numFmtId="2" fontId="75" fillId="13" borderId="18" xfId="5" applyNumberFormat="1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horizontal="justify"/>
      <protection hidden="1"/>
    </xf>
    <xf numFmtId="0" fontId="78" fillId="2" borderId="2" xfId="0" applyFont="1" applyFill="1" applyBorder="1" applyAlignment="1">
      <alignment horizontal="left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78" fillId="2" borderId="2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center"/>
    </xf>
    <xf numFmtId="0" fontId="78" fillId="2" borderId="4" xfId="0" applyFont="1" applyFill="1" applyBorder="1" applyAlignment="1">
      <alignment horizontal="left"/>
    </xf>
    <xf numFmtId="0" fontId="103" fillId="0" borderId="38" xfId="0" applyFont="1" applyBorder="1" applyAlignment="1">
      <alignment horizontal="center"/>
    </xf>
    <xf numFmtId="0" fontId="78" fillId="2" borderId="13" xfId="0" applyFont="1" applyFill="1" applyBorder="1" applyAlignment="1">
      <alignment horizontal="center"/>
    </xf>
    <xf numFmtId="0" fontId="78" fillId="2" borderId="16" xfId="0" applyFont="1" applyFill="1" applyBorder="1" applyAlignment="1">
      <alignment horizontal="center"/>
    </xf>
    <xf numFmtId="0" fontId="78" fillId="2" borderId="5" xfId="0" applyFont="1" applyFill="1" applyBorder="1" applyAlignment="1">
      <alignment horizontal="center"/>
    </xf>
    <xf numFmtId="0" fontId="78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169" fontId="6" fillId="2" borderId="13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4" xfId="0" applyNumberFormat="1" applyFont="1" applyFill="1" applyBorder="1" applyAlignment="1">
      <alignment horizontal="left" vertical="center" indent="5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 indent="5"/>
    </xf>
    <xf numFmtId="0" fontId="26" fillId="0" borderId="38" xfId="0" applyFont="1" applyBorder="1" applyAlignment="1">
      <alignment horizontal="center"/>
    </xf>
    <xf numFmtId="169" fontId="6" fillId="2" borderId="13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6" fillId="20" borderId="5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24" fillId="0" borderId="0" xfId="3" applyNumberFormat="1" applyFont="1" applyAlignment="1">
      <alignment wrapText="1"/>
    </xf>
    <xf numFmtId="169" fontId="104" fillId="10" borderId="18" xfId="3" applyNumberFormat="1" applyFont="1" applyFill="1" applyBorder="1" applyAlignment="1">
      <alignment wrapText="1"/>
    </xf>
    <xf numFmtId="169" fontId="104" fillId="10" borderId="0" xfId="3" applyNumberFormat="1" applyFont="1" applyFill="1" applyAlignment="1">
      <alignment wrapText="1"/>
    </xf>
    <xf numFmtId="169" fontId="6" fillId="2" borderId="5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0" fontId="6" fillId="2" borderId="5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0" fontId="76" fillId="2" borderId="2" xfId="3" applyFont="1" applyFill="1" applyBorder="1" applyAlignment="1">
      <alignment horizontal="center"/>
    </xf>
    <xf numFmtId="169" fontId="6" fillId="2" borderId="5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4" xfId="3" applyNumberFormat="1" applyFont="1" applyFill="1" applyBorder="1" applyAlignment="1">
      <alignment horizontal="left" vertical="center"/>
    </xf>
    <xf numFmtId="169" fontId="6" fillId="2" borderId="37" xfId="3" applyNumberFormat="1" applyFont="1" applyFill="1" applyBorder="1" applyAlignment="1">
      <alignment horizontal="left" vertic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" fontId="6" fillId="13" borderId="5" xfId="5" applyNumberFormat="1" applyFont="1" applyFill="1" applyBorder="1" applyAlignment="1" applyProtection="1">
      <alignment horizontal="center"/>
      <protection locked="0"/>
    </xf>
    <xf numFmtId="0" fontId="0" fillId="13" borderId="8" xfId="0" applyFill="1" applyBorder="1" applyAlignment="1">
      <alignment horizontal="center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6" fillId="2" borderId="47" xfId="0" applyFont="1" applyFill="1" applyBorder="1" applyAlignment="1">
      <alignment horizontal="center" vertical="top" wrapText="1"/>
    </xf>
    <xf numFmtId="0" fontId="6" fillId="2" borderId="11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center" vertical="top" wrapText="1"/>
    </xf>
    <xf numFmtId="0" fontId="6" fillId="2" borderId="46" xfId="0" applyFont="1" applyFill="1" applyBorder="1" applyAlignment="1">
      <alignment horizontal="center" vertical="top" wrapText="1"/>
    </xf>
    <xf numFmtId="0" fontId="6" fillId="2" borderId="45" xfId="0" applyFont="1" applyFill="1" applyBorder="1" applyAlignment="1">
      <alignment horizontal="left" vertical="top" wrapText="1"/>
    </xf>
    <xf numFmtId="0" fontId="6" fillId="2" borderId="46" xfId="0" applyFont="1" applyFill="1" applyBorder="1" applyAlignment="1">
      <alignment horizontal="left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106" fillId="22" borderId="0" xfId="0" applyFont="1" applyFill="1" applyAlignment="1">
      <alignment horizontal="center" vertical="center" wrapText="1"/>
    </xf>
    <xf numFmtId="0" fontId="105" fillId="17" borderId="5" xfId="0" applyFont="1" applyFill="1" applyBorder="1" applyAlignment="1">
      <alignment horizontal="center"/>
    </xf>
    <xf numFmtId="0" fontId="105" fillId="17" borderId="8" xfId="0" applyFont="1" applyFill="1" applyBorder="1" applyAlignment="1">
      <alignment horizontal="center"/>
    </xf>
    <xf numFmtId="0" fontId="75" fillId="7" borderId="0" xfId="0" applyFont="1" applyFill="1" applyAlignment="1">
      <alignment horizontal="justify"/>
    </xf>
    <xf numFmtId="3" fontId="6" fillId="6" borderId="48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justify"/>
    </xf>
    <xf numFmtId="0" fontId="76" fillId="10" borderId="0" xfId="0" applyFont="1" applyFill="1" applyAlignment="1">
      <alignment horizontal="justify" vertical="center"/>
    </xf>
    <xf numFmtId="0" fontId="105" fillId="17" borderId="5" xfId="0" applyFont="1" applyFill="1" applyBorder="1" applyAlignment="1">
      <alignment horizontal="center" wrapText="1"/>
    </xf>
    <xf numFmtId="0" fontId="76" fillId="14" borderId="50" xfId="0" applyFont="1" applyFill="1" applyBorder="1" applyAlignment="1">
      <alignment horizontal="justify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Comma" xfId="7" builtinId="3"/>
    <cellStyle name="Currency" xfId="1" builtinId="4"/>
    <cellStyle name="Normal" xfId="0" builtinId="0"/>
    <cellStyle name="Normal_Book1" xfId="2" xr:uid="{560837AB-A2B2-45AC-A5A9-FD4936A9D501}"/>
    <cellStyle name="Normal_ModeloEconFinanceiro" xfId="3" xr:uid="{9A35ADF8-4C40-4F6E-B66E-54B00063E1FD}"/>
    <cellStyle name="Normal_ModeloInzym" xfId="4" xr:uid="{4A63DEF7-E1C2-48E9-947E-762B1D75285A}"/>
    <cellStyle name="Percent" xfId="5" builtinId="5"/>
    <cellStyle name="Percentagem_ModeloInzym" xfId="6" xr:uid="{859700D4-352B-4C17-B8F9-49D1CD9B6F07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0" name="Picture 3" descr="NOVO LOGO - IAPMEI">
          <a:extLst>
            <a:ext uri="{FF2B5EF4-FFF2-40B4-BE49-F238E27FC236}">
              <a16:creationId xmlns:a16="http://schemas.microsoft.com/office/drawing/2014/main" id="{32E9950D-49AC-D220-F366-9FED968E5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1" name="Picture 3" descr="NOVO LOGO - IAPMEI">
          <a:extLst>
            <a:ext uri="{FF2B5EF4-FFF2-40B4-BE49-F238E27FC236}">
              <a16:creationId xmlns:a16="http://schemas.microsoft.com/office/drawing/2014/main" id="{64F22B0A-A1BF-E013-2E18-A9A0FFC66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769" name="Picture 5" descr="NOVO LOGO - IAPMEI">
          <a:extLst>
            <a:ext uri="{FF2B5EF4-FFF2-40B4-BE49-F238E27FC236}">
              <a16:creationId xmlns:a16="http://schemas.microsoft.com/office/drawing/2014/main" id="{B7ADDF73-F4CF-0BC6-259C-722AB6C87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756" name="Picture 2" descr="NOVO LOGO - IAPMEI">
          <a:extLst>
            <a:ext uri="{FF2B5EF4-FFF2-40B4-BE49-F238E27FC236}">
              <a16:creationId xmlns:a16="http://schemas.microsoft.com/office/drawing/2014/main" id="{1ED98708-4DB3-063A-EA4D-5152A68C8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780" name="Picture 2" descr="NOVO LOGO - IAPMEI">
          <a:extLst>
            <a:ext uri="{FF2B5EF4-FFF2-40B4-BE49-F238E27FC236}">
              <a16:creationId xmlns:a16="http://schemas.microsoft.com/office/drawing/2014/main" id="{653C7993-376B-5FA1-1ECD-A4D1A05FF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804" name="Picture 2" descr="NOVO LOGO - IAPMEI">
          <a:extLst>
            <a:ext uri="{FF2B5EF4-FFF2-40B4-BE49-F238E27FC236}">
              <a16:creationId xmlns:a16="http://schemas.microsoft.com/office/drawing/2014/main" id="{28A18052-89FC-40F9-A51F-269EC6BA1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4054" name="Picture 540" descr="NOVO LOGO - IAPMEI">
          <a:extLst>
            <a:ext uri="{FF2B5EF4-FFF2-40B4-BE49-F238E27FC236}">
              <a16:creationId xmlns:a16="http://schemas.microsoft.com/office/drawing/2014/main" id="{E435A78C-880A-82EF-7918-BC0361737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853" name="Picture 2" descr="NOVO LOGO - IAPMEI">
          <a:extLst>
            <a:ext uri="{FF2B5EF4-FFF2-40B4-BE49-F238E27FC236}">
              <a16:creationId xmlns:a16="http://schemas.microsoft.com/office/drawing/2014/main" id="{EED173FE-10E6-9E61-00E8-A8561DFD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8817" name="Picture 1237" descr="NOVO LOGO - IAPMEI">
          <a:extLst>
            <a:ext uri="{FF2B5EF4-FFF2-40B4-BE49-F238E27FC236}">
              <a16:creationId xmlns:a16="http://schemas.microsoft.com/office/drawing/2014/main" id="{76C22BB5-2E79-BA5D-1744-8FA82C491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902" name="Picture 687" descr="NOVO LOGO - IAPMEI">
          <a:extLst>
            <a:ext uri="{FF2B5EF4-FFF2-40B4-BE49-F238E27FC236}">
              <a16:creationId xmlns:a16="http://schemas.microsoft.com/office/drawing/2014/main" id="{7BFB9BBC-F132-99B3-149C-C1EE6530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1849" name="Picture 687" descr="NOVO LOGO - IAPMEI">
          <a:extLst>
            <a:ext uri="{FF2B5EF4-FFF2-40B4-BE49-F238E27FC236}">
              <a16:creationId xmlns:a16="http://schemas.microsoft.com/office/drawing/2014/main" id="{0651C0AE-157A-D635-1304-3EA1A56B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876" name="Picture 2" descr="NOVO LOGO - IAPMEI">
          <a:extLst>
            <a:ext uri="{FF2B5EF4-FFF2-40B4-BE49-F238E27FC236}">
              <a16:creationId xmlns:a16="http://schemas.microsoft.com/office/drawing/2014/main" id="{5CC647C3-1902-6719-A988-800D7DDCD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0342" name="Picture 2" descr="NOVO LOGO - IAPMEI">
          <a:extLst>
            <a:ext uri="{FF2B5EF4-FFF2-40B4-BE49-F238E27FC236}">
              <a16:creationId xmlns:a16="http://schemas.microsoft.com/office/drawing/2014/main" id="{5D43A3DD-7678-D652-6F2F-DCD648D68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282575</xdr:colOff>
      <xdr:row>31</xdr:row>
      <xdr:rowOff>38100</xdr:rowOff>
    </xdr:from>
    <xdr:to>
      <xdr:col>0</xdr:col>
      <xdr:colOff>1547074</xdr:colOff>
      <xdr:row>33</xdr:row>
      <xdr:rowOff>38982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932E9A55-B823-BE83-EED9-B0906AD0E0D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30827" name="Picture 689" descr="NOVO LOGO - IAPMEI">
          <a:extLst>
            <a:ext uri="{FF2B5EF4-FFF2-40B4-BE49-F238E27FC236}">
              <a16:creationId xmlns:a16="http://schemas.microsoft.com/office/drawing/2014/main" id="{43025338-DDFD-2BC4-40C0-2A5BEDFBD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925" name="Picture 2" descr="NOVO LOGO - IAPMEI">
          <a:extLst>
            <a:ext uri="{FF2B5EF4-FFF2-40B4-BE49-F238E27FC236}">
              <a16:creationId xmlns:a16="http://schemas.microsoft.com/office/drawing/2014/main" id="{C75A331B-FA13-29CE-4230-CC65FF461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3195" name="Picture 9" descr="NOVO LOGO - IAPMEI">
          <a:extLst>
            <a:ext uri="{FF2B5EF4-FFF2-40B4-BE49-F238E27FC236}">
              <a16:creationId xmlns:a16="http://schemas.microsoft.com/office/drawing/2014/main" id="{A90A9C4E-4415-175F-E1CD-CCAB96B7E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277090</xdr:colOff>
      <xdr:row>48</xdr:row>
      <xdr:rowOff>112914</xdr:rowOff>
    </xdr:from>
    <xdr:to>
      <xdr:col>9</xdr:col>
      <xdr:colOff>297180</xdr:colOff>
      <xdr:row>59</xdr:row>
      <xdr:rowOff>107021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70AB9A69-5B5E-85E5-D601-153E4827D406}"/>
            </a:ext>
          </a:extLst>
        </xdr:cNvPr>
        <xdr:cNvCxnSpPr/>
      </xdr:nvCxnSpPr>
      <xdr:spPr>
        <a:xfrm flipH="1">
          <a:off x="8711045" y="8127076"/>
          <a:ext cx="20090" cy="1804901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57</xdr:row>
      <xdr:rowOff>88900</xdr:rowOff>
    </xdr:from>
    <xdr:to>
      <xdr:col>10</xdr:col>
      <xdr:colOff>1535</xdr:colOff>
      <xdr:row>57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29935604-F97F-010E-EF7F-C4B08F9F6C66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59</xdr:row>
      <xdr:rowOff>71120</xdr:rowOff>
    </xdr:from>
    <xdr:to>
      <xdr:col>10</xdr:col>
      <xdr:colOff>1535</xdr:colOff>
      <xdr:row>59</xdr:row>
      <xdr:rowOff>71120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86650D36-2AB1-6AA4-B8D1-1FAE71E8077D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30</xdr:row>
      <xdr:rowOff>7620</xdr:rowOff>
    </xdr:from>
    <xdr:to>
      <xdr:col>9</xdr:col>
      <xdr:colOff>228600</xdr:colOff>
      <xdr:row>39</xdr:row>
      <xdr:rowOff>40057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9BDE58AB-40FE-A2C6-0456-963F0A1B4EF2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563085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973F62A3-A666-5961-2142-628EFF3C2E5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38</xdr:row>
      <xdr:rowOff>104775</xdr:rowOff>
    </xdr:from>
    <xdr:to>
      <xdr:col>10</xdr:col>
      <xdr:colOff>2164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C6A21A2B-25A3-1A3B-8C24-B34880806B20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299720</xdr:colOff>
      <xdr:row>17</xdr:row>
      <xdr:rowOff>111125</xdr:rowOff>
    </xdr:from>
    <xdr:to>
      <xdr:col>9</xdr:col>
      <xdr:colOff>533868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6FC871F-2260-2427-033F-386F79754675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524573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29C5C6CA-986E-484B-A678-ED027A86000B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222885</xdr:colOff>
      <xdr:row>10</xdr:row>
      <xdr:rowOff>7620</xdr:rowOff>
    </xdr:from>
    <xdr:to>
      <xdr:col>9</xdr:col>
      <xdr:colOff>228600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1A346C84-3E11-5F73-80BD-1F2C480A3AB1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367665</xdr:colOff>
      <xdr:row>19</xdr:row>
      <xdr:rowOff>74930</xdr:rowOff>
    </xdr:from>
    <xdr:to>
      <xdr:col>10</xdr:col>
      <xdr:colOff>1514</xdr:colOff>
      <xdr:row>19</xdr:row>
      <xdr:rowOff>74930</xdr:rowOff>
    </xdr:to>
    <xdr:cxnSp macro="">
      <xdr:nvCxnSpPr>
        <xdr:cNvPr id="16" name="Conexão recta unidireccional 12">
          <a:extLst>
            <a:ext uri="{FF2B5EF4-FFF2-40B4-BE49-F238E27FC236}">
              <a16:creationId xmlns:a16="http://schemas.microsoft.com/office/drawing/2014/main" id="{88E9327B-4F85-D8BC-FB34-8EB6D1891E73}"/>
            </a:ext>
          </a:extLst>
        </xdr:cNvPr>
        <xdr:cNvCxnSpPr/>
      </xdr:nvCxnSpPr>
      <xdr:spPr>
        <a:xfrm>
          <a:off x="10039350" y="2734310"/>
          <a:ext cx="22636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901" name="Picture 2" descr="NOVO LOGO - IAPMEI">
          <a:extLst>
            <a:ext uri="{FF2B5EF4-FFF2-40B4-BE49-F238E27FC236}">
              <a16:creationId xmlns:a16="http://schemas.microsoft.com/office/drawing/2014/main" id="{161FB77C-F8E7-9A67-1B7C-32A482AEF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B445-4BA8-40B3-83F1-3C963EB4AC4A}">
  <sheetPr codeName="Folha8"/>
  <dimension ref="A1:BU424"/>
  <sheetViews>
    <sheetView topLeftCell="B1" zoomScale="90" zoomScaleNormal="90" workbookViewId="0">
      <selection activeCell="B3" sqref="B3"/>
    </sheetView>
  </sheetViews>
  <sheetFormatPr defaultRowHeight="13.2"/>
  <cols>
    <col min="1" max="1" width="3.6640625" style="11" customWidth="1"/>
    <col min="2" max="2" width="112" customWidth="1"/>
    <col min="3" max="73" width="3.6640625" style="11" customWidth="1"/>
  </cols>
  <sheetData>
    <row r="1" spans="2:2" ht="196.5" customHeight="1">
      <c r="B1" s="386" t="s">
        <v>216</v>
      </c>
    </row>
    <row r="2" spans="2:2" ht="42" customHeight="1">
      <c r="B2" s="387" t="s">
        <v>217</v>
      </c>
    </row>
    <row r="3" spans="2:2" ht="252.75" customHeight="1">
      <c r="B3" s="384" t="s">
        <v>503</v>
      </c>
    </row>
    <row r="4" spans="2:2" ht="24.75" customHeight="1">
      <c r="B4" s="385" t="s">
        <v>504</v>
      </c>
    </row>
    <row r="5" spans="2:2" ht="35.25" customHeight="1">
      <c r="B5" s="517" t="s">
        <v>505</v>
      </c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849D-B421-4740-85B3-8A3532363AD3}">
  <sheetPr codeName="Folha1">
    <pageSetUpPr fitToPage="1"/>
  </sheetPr>
  <dimension ref="B1:C51"/>
  <sheetViews>
    <sheetView showGridLines="0" topLeftCell="A22" zoomScaleNormal="100" workbookViewId="0">
      <selection activeCell="H18" sqref="H18"/>
    </sheetView>
  </sheetViews>
  <sheetFormatPr defaultColWidth="9.109375" defaultRowHeight="13.2"/>
  <cols>
    <col min="1" max="1" width="3.6640625" style="11" customWidth="1"/>
    <col min="2" max="2" width="9.109375" style="11"/>
    <col min="3" max="3" width="88.5546875" style="11" customWidth="1"/>
    <col min="4" max="16384" width="9.109375" style="11"/>
  </cols>
  <sheetData>
    <row r="1" spans="2:3">
      <c r="B1" s="10"/>
      <c r="C1" s="544" t="s">
        <v>237</v>
      </c>
    </row>
    <row r="2" spans="2:3">
      <c r="B2" s="10"/>
      <c r="C2" s="545"/>
    </row>
    <row r="3" spans="2:3" ht="18.75" customHeight="1">
      <c r="B3" s="10"/>
      <c r="C3" s="545"/>
    </row>
    <row r="4" spans="2:3" ht="21.75" customHeight="1">
      <c r="B4" s="547" t="s">
        <v>116</v>
      </c>
      <c r="C4" s="547"/>
    </row>
    <row r="5" spans="2:3">
      <c r="B5" s="10"/>
      <c r="C5" s="10"/>
    </row>
    <row r="6" spans="2:3" s="340" customFormat="1" ht="13.95" customHeight="1">
      <c r="B6" s="549" t="s">
        <v>238</v>
      </c>
      <c r="C6" s="549"/>
    </row>
    <row r="7" spans="2:3" s="340" customFormat="1" ht="27.6" customHeight="1">
      <c r="B7" s="549"/>
      <c r="C7" s="549"/>
    </row>
    <row r="8" spans="2:3" s="340" customFormat="1" ht="36.6" customHeight="1">
      <c r="B8" s="549"/>
      <c r="C8" s="549"/>
    </row>
    <row r="9" spans="2:3">
      <c r="B9" s="10"/>
      <c r="C9" s="10"/>
    </row>
    <row r="10" spans="2:3" ht="13.8">
      <c r="B10" s="7" t="s">
        <v>89</v>
      </c>
      <c r="C10" s="10"/>
    </row>
    <row r="11" spans="2:3" ht="8.4" customHeight="1">
      <c r="B11" s="7"/>
      <c r="C11" s="10"/>
    </row>
    <row r="12" spans="2:3" ht="13.8">
      <c r="B12" s="548" t="s">
        <v>482</v>
      </c>
      <c r="C12" s="548"/>
    </row>
    <row r="13" spans="2:3" ht="13.8">
      <c r="B13" s="548" t="s">
        <v>239</v>
      </c>
      <c r="C13" s="548"/>
    </row>
    <row r="14" spans="2:3" ht="12.75" customHeight="1">
      <c r="B14" s="546" t="s">
        <v>240</v>
      </c>
      <c r="C14" s="546"/>
    </row>
    <row r="15" spans="2:3" ht="12.75" customHeight="1">
      <c r="B15" s="546" t="s">
        <v>241</v>
      </c>
      <c r="C15" s="546"/>
    </row>
    <row r="16" spans="2:3" ht="8.4" customHeight="1">
      <c r="B16" s="7"/>
      <c r="C16" s="10"/>
    </row>
    <row r="17" spans="2:3" ht="13.8">
      <c r="B17" s="7" t="s">
        <v>88</v>
      </c>
      <c r="C17" s="10"/>
    </row>
    <row r="18" spans="2:3" ht="13.8">
      <c r="B18" s="7"/>
      <c r="C18" s="10"/>
    </row>
    <row r="19" spans="2:3" ht="40.5" customHeight="1">
      <c r="B19" s="404">
        <v>1</v>
      </c>
      <c r="C19" s="12" t="s">
        <v>307</v>
      </c>
    </row>
    <row r="20" spans="2:3" ht="8.4" customHeight="1">
      <c r="B20" s="7"/>
      <c r="C20" s="10"/>
    </row>
    <row r="21" spans="2:3" ht="22.95" customHeight="1">
      <c r="B21" s="404">
        <v>2</v>
      </c>
      <c r="C21" s="12" t="s">
        <v>242</v>
      </c>
    </row>
    <row r="22" spans="2:3" ht="6.6" customHeight="1">
      <c r="B22" s="7"/>
      <c r="C22" s="10"/>
    </row>
    <row r="23" spans="2:3" ht="40.5" customHeight="1">
      <c r="B23" s="404">
        <v>3</v>
      </c>
      <c r="C23" s="12" t="s">
        <v>243</v>
      </c>
    </row>
    <row r="24" spans="2:3" ht="6.6" customHeight="1">
      <c r="B24" s="8"/>
      <c r="C24" s="8"/>
    </row>
    <row r="25" spans="2:3" ht="25.5" customHeight="1">
      <c r="B25" s="404">
        <v>4</v>
      </c>
      <c r="C25" s="12" t="s">
        <v>244</v>
      </c>
    </row>
    <row r="26" spans="2:3" ht="6.6" customHeight="1">
      <c r="B26" s="8"/>
      <c r="C26" s="8"/>
    </row>
    <row r="27" spans="2:3" ht="25.5" customHeight="1">
      <c r="B27" s="404">
        <v>5</v>
      </c>
      <c r="C27" s="12" t="s">
        <v>245</v>
      </c>
    </row>
    <row r="28" spans="2:3" ht="6.6" customHeight="1">
      <c r="B28" s="8"/>
      <c r="C28" s="8"/>
    </row>
    <row r="29" spans="2:3" ht="25.5" customHeight="1">
      <c r="B29" s="404">
        <v>6</v>
      </c>
      <c r="C29" s="12" t="s">
        <v>246</v>
      </c>
    </row>
    <row r="30" spans="2:3" ht="6.6" customHeight="1">
      <c r="B30" s="9"/>
      <c r="C30" s="10"/>
    </row>
    <row r="31" spans="2:3" ht="25.5" customHeight="1">
      <c r="B31" s="404">
        <v>7</v>
      </c>
      <c r="C31" s="12" t="s">
        <v>247</v>
      </c>
    </row>
    <row r="32" spans="2:3" ht="6.6" customHeight="1">
      <c r="B32" s="10"/>
      <c r="C32" s="10"/>
    </row>
    <row r="33" spans="2:3" ht="25.5" customHeight="1">
      <c r="B33" s="404">
        <v>8</v>
      </c>
      <c r="C33" s="12" t="s">
        <v>248</v>
      </c>
    </row>
    <row r="34" spans="2:3" ht="6.6" customHeight="1">
      <c r="B34" s="10"/>
      <c r="C34" s="10"/>
    </row>
    <row r="35" spans="2:3" ht="40.5" customHeight="1">
      <c r="B35" s="404">
        <v>9</v>
      </c>
      <c r="C35" s="12" t="s">
        <v>249</v>
      </c>
    </row>
    <row r="36" spans="2:3" ht="6.6" customHeight="1">
      <c r="B36" s="10"/>
      <c r="C36" s="10"/>
    </row>
    <row r="37" spans="2:3" ht="25.5" customHeight="1">
      <c r="B37" s="404">
        <v>10</v>
      </c>
      <c r="C37" s="12" t="s">
        <v>250</v>
      </c>
    </row>
    <row r="38" spans="2:3" ht="6.6" customHeight="1">
      <c r="B38" s="10"/>
      <c r="C38" s="10"/>
    </row>
    <row r="39" spans="2:3" ht="57" customHeight="1">
      <c r="B39" s="404">
        <v>11</v>
      </c>
      <c r="C39" s="12" t="s">
        <v>251</v>
      </c>
    </row>
    <row r="40" spans="2:3" ht="6.6" customHeight="1">
      <c r="B40" s="10"/>
      <c r="C40" s="10"/>
    </row>
    <row r="41" spans="2:3" ht="25.5" customHeight="1">
      <c r="B41" s="404">
        <v>12</v>
      </c>
      <c r="C41" s="12" t="s">
        <v>252</v>
      </c>
    </row>
    <row r="42" spans="2:3" ht="6.6" customHeight="1">
      <c r="B42" s="10"/>
      <c r="C42" s="10"/>
    </row>
    <row r="43" spans="2:3" ht="69">
      <c r="B43" s="405">
        <v>13</v>
      </c>
      <c r="C43" s="12" t="s">
        <v>253</v>
      </c>
    </row>
    <row r="44" spans="2:3" ht="6.6" customHeight="1">
      <c r="B44" s="10"/>
      <c r="C44" s="10"/>
    </row>
    <row r="45" spans="2:3" ht="82.8">
      <c r="B45" s="404">
        <v>14</v>
      </c>
      <c r="C45" s="12" t="s">
        <v>254</v>
      </c>
    </row>
    <row r="46" spans="2:3" ht="6.6" customHeight="1">
      <c r="B46" s="10"/>
      <c r="C46" s="10"/>
    </row>
    <row r="47" spans="2:3" ht="13.8">
      <c r="B47" s="404">
        <v>15</v>
      </c>
      <c r="C47" s="12" t="s">
        <v>255</v>
      </c>
    </row>
    <row r="48" spans="2:3" ht="6.6" customHeight="1">
      <c r="B48" s="10"/>
      <c r="C48" s="10"/>
    </row>
    <row r="49" spans="2:3" ht="27.6">
      <c r="B49" s="404">
        <v>16</v>
      </c>
      <c r="C49" s="12" t="s">
        <v>306</v>
      </c>
    </row>
    <row r="50" spans="2:3" ht="6.6" customHeight="1">
      <c r="B50" s="10"/>
      <c r="C50" s="10"/>
    </row>
    <row r="51" spans="2:3" ht="27.6">
      <c r="B51" s="404" t="s">
        <v>201</v>
      </c>
      <c r="C51" s="12" t="s">
        <v>256</v>
      </c>
    </row>
  </sheetData>
  <mergeCells count="7">
    <mergeCell ref="C1:C3"/>
    <mergeCell ref="B14:C14"/>
    <mergeCell ref="B15:C15"/>
    <mergeCell ref="B4:C4"/>
    <mergeCell ref="B12:C12"/>
    <mergeCell ref="B13:C13"/>
    <mergeCell ref="B6:C8"/>
  </mergeCells>
  <phoneticPr fontId="15" type="noConversion"/>
  <printOptions horizontalCentered="1"/>
  <pageMargins left="0.75" right="0.75" top="0.59055118110236227" bottom="0.59055118110236227" header="0.51181102362204722" footer="0.51181102362204722"/>
  <pageSetup paperSize="9" scale="92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2670-C6A9-4F39-B9E8-D2539BDCD743}">
  <sheetPr codeName="Sheet1">
    <pageSetUpPr fitToPage="1"/>
  </sheetPr>
  <dimension ref="A1:E48"/>
  <sheetViews>
    <sheetView showGridLines="0" topLeftCell="A3" zoomScaleNormal="100" workbookViewId="0">
      <selection activeCell="I17" sqref="I17"/>
    </sheetView>
  </sheetViews>
  <sheetFormatPr defaultColWidth="8.6640625" defaultRowHeight="10.199999999999999"/>
  <cols>
    <col min="1" max="1" width="39.6640625" style="13" customWidth="1"/>
    <col min="2" max="2" width="20.109375" style="343" customWidth="1"/>
    <col min="3" max="3" width="15.6640625" style="13" customWidth="1"/>
    <col min="4" max="4" width="16.44140625" style="13" customWidth="1"/>
    <col min="5" max="5" width="13.6640625" style="13" customWidth="1"/>
    <col min="6" max="16384" width="8.6640625" style="13"/>
  </cols>
  <sheetData>
    <row r="1" spans="1:5" ht="13.8">
      <c r="A1" s="17"/>
      <c r="B1" s="341"/>
      <c r="C1" s="18"/>
      <c r="D1" s="402" t="s">
        <v>44</v>
      </c>
      <c r="E1" s="403" t="s">
        <v>506</v>
      </c>
    </row>
    <row r="2" spans="1:5">
      <c r="A2" s="2"/>
      <c r="B2" s="342"/>
      <c r="C2" s="2"/>
      <c r="D2" s="2"/>
      <c r="E2" s="2"/>
    </row>
    <row r="3" spans="1:5">
      <c r="A3" s="2"/>
      <c r="B3" s="342"/>
      <c r="C3" s="2"/>
      <c r="D3" s="2"/>
      <c r="E3" s="2"/>
    </row>
    <row r="4" spans="1:5" ht="15.6">
      <c r="A4" s="552" t="s">
        <v>4</v>
      </c>
      <c r="B4" s="552"/>
      <c r="C4" s="552"/>
      <c r="D4" s="552"/>
      <c r="E4" s="552"/>
    </row>
    <row r="5" spans="1:5">
      <c r="A5" s="2"/>
      <c r="B5" s="342"/>
      <c r="C5" s="378"/>
      <c r="D5" s="2"/>
      <c r="E5" s="1"/>
    </row>
    <row r="6" spans="1:5" ht="15.6">
      <c r="A6" s="556" t="s">
        <v>257</v>
      </c>
      <c r="B6" s="556"/>
      <c r="C6" s="556"/>
      <c r="D6" s="556"/>
      <c r="E6" s="556"/>
    </row>
    <row r="7" spans="1:5">
      <c r="A7" s="2"/>
      <c r="B7" s="342"/>
      <c r="C7" s="2"/>
      <c r="D7" s="2"/>
      <c r="E7" s="1"/>
    </row>
    <row r="8" spans="1:5">
      <c r="A8" s="2"/>
      <c r="B8" s="342"/>
      <c r="C8" s="19"/>
      <c r="D8" s="20"/>
      <c r="E8" s="21"/>
    </row>
    <row r="9" spans="1:5">
      <c r="A9" s="4" t="s">
        <v>308</v>
      </c>
      <c r="B9" s="401" t="s">
        <v>123</v>
      </c>
      <c r="C9" s="19"/>
      <c r="D9" s="20"/>
      <c r="E9" s="21"/>
    </row>
    <row r="10" spans="1:5">
      <c r="A10" s="2"/>
      <c r="B10" s="342"/>
      <c r="C10" s="19"/>
      <c r="D10" s="20"/>
      <c r="E10" s="21"/>
    </row>
    <row r="11" spans="1:5">
      <c r="A11" s="400" t="s">
        <v>309</v>
      </c>
      <c r="B11" s="392">
        <v>2025</v>
      </c>
      <c r="C11" s="388" t="s">
        <v>212</v>
      </c>
      <c r="D11" s="20"/>
      <c r="E11" s="21"/>
    </row>
    <row r="12" spans="1:5">
      <c r="A12" s="391" t="s">
        <v>258</v>
      </c>
      <c r="B12" s="393" t="s">
        <v>218</v>
      </c>
      <c r="C12" s="389" t="s">
        <v>443</v>
      </c>
      <c r="D12" s="20"/>
      <c r="E12" s="21"/>
    </row>
    <row r="13" spans="1:5">
      <c r="A13" s="355" t="s">
        <v>310</v>
      </c>
      <c r="B13" s="394">
        <v>60</v>
      </c>
      <c r="C13" s="399">
        <f>+B13/30</f>
        <v>2</v>
      </c>
      <c r="D13" s="568" t="s">
        <v>259</v>
      </c>
      <c r="E13" s="21"/>
    </row>
    <row r="14" spans="1:5">
      <c r="A14" s="4" t="s">
        <v>311</v>
      </c>
      <c r="B14" s="395">
        <v>30</v>
      </c>
      <c r="C14" s="399">
        <f>+B14/30</f>
        <v>1</v>
      </c>
      <c r="D14" s="568"/>
      <c r="E14" s="21"/>
    </row>
    <row r="15" spans="1:5">
      <c r="A15" s="4" t="s">
        <v>312</v>
      </c>
      <c r="B15" s="395">
        <v>60</v>
      </c>
      <c r="C15" s="399">
        <f>+B15/30</f>
        <v>2</v>
      </c>
      <c r="D15" s="568"/>
      <c r="E15" s="21"/>
    </row>
    <row r="16" spans="1:5">
      <c r="A16" s="4" t="s">
        <v>445</v>
      </c>
      <c r="B16" s="395">
        <v>1</v>
      </c>
      <c r="C16" s="399">
        <f>+B16</f>
        <v>1</v>
      </c>
      <c r="D16" s="390" t="s">
        <v>498</v>
      </c>
      <c r="E16" s="21"/>
    </row>
    <row r="17" spans="1:5">
      <c r="A17" s="2"/>
      <c r="B17" s="342"/>
      <c r="C17" s="19"/>
      <c r="D17" s="20"/>
      <c r="E17" s="21"/>
    </row>
    <row r="18" spans="1:5">
      <c r="A18" s="4" t="s">
        <v>109</v>
      </c>
      <c r="B18" s="396">
        <v>0.23</v>
      </c>
      <c r="C18" s="567" t="s">
        <v>213</v>
      </c>
      <c r="D18" s="22"/>
      <c r="E18" s="21"/>
    </row>
    <row r="19" spans="1:5">
      <c r="A19" s="4" t="s">
        <v>110</v>
      </c>
      <c r="B19" s="396">
        <v>0.23</v>
      </c>
      <c r="C19" s="567"/>
      <c r="D19" s="22"/>
      <c r="E19" s="21"/>
    </row>
    <row r="20" spans="1:5">
      <c r="A20" s="4" t="s">
        <v>75</v>
      </c>
      <c r="B20" s="396">
        <v>0.23</v>
      </c>
      <c r="C20" s="567"/>
      <c r="D20" s="22"/>
      <c r="E20" s="21"/>
    </row>
    <row r="21" spans="1:5">
      <c r="A21" s="4" t="s">
        <v>76</v>
      </c>
      <c r="B21" s="396">
        <v>0.23</v>
      </c>
      <c r="C21" s="567"/>
      <c r="D21" s="22"/>
      <c r="E21" s="21"/>
    </row>
    <row r="22" spans="1:5">
      <c r="A22" s="4" t="s">
        <v>132</v>
      </c>
      <c r="B22" s="396">
        <v>0.23</v>
      </c>
      <c r="C22" s="567"/>
      <c r="D22" s="22"/>
      <c r="E22" s="21"/>
    </row>
    <row r="23" spans="1:5">
      <c r="A23" s="2"/>
      <c r="B23" s="342"/>
      <c r="C23" s="19"/>
      <c r="D23" s="20"/>
      <c r="E23" s="21"/>
    </row>
    <row r="24" spans="1:5">
      <c r="A24" s="4" t="s">
        <v>313</v>
      </c>
      <c r="B24" s="396">
        <v>0.23749999999999999</v>
      </c>
      <c r="C24" s="566" t="s">
        <v>214</v>
      </c>
      <c r="D24" s="20"/>
      <c r="E24" s="21"/>
    </row>
    <row r="25" spans="1:5">
      <c r="A25" s="4" t="s">
        <v>444</v>
      </c>
      <c r="B25" s="396">
        <v>0.23749999999999999</v>
      </c>
      <c r="C25" s="566"/>
      <c r="D25" s="20"/>
      <c r="E25" s="21"/>
    </row>
    <row r="26" spans="1:5">
      <c r="A26" s="4" t="s">
        <v>314</v>
      </c>
      <c r="B26" s="396">
        <v>0.11</v>
      </c>
      <c r="C26" s="566"/>
      <c r="D26" s="20"/>
      <c r="E26" s="21"/>
    </row>
    <row r="27" spans="1:5">
      <c r="A27" s="4" t="s">
        <v>315</v>
      </c>
      <c r="B27" s="396">
        <v>0.11</v>
      </c>
      <c r="C27" s="566"/>
      <c r="D27" s="20"/>
      <c r="E27" s="21"/>
    </row>
    <row r="28" spans="1:5">
      <c r="A28" s="4" t="s">
        <v>316</v>
      </c>
      <c r="B28" s="396">
        <v>0.15</v>
      </c>
      <c r="C28" s="388" t="s">
        <v>260</v>
      </c>
      <c r="D28" s="20"/>
      <c r="E28" s="21"/>
    </row>
    <row r="29" spans="1:5" ht="13.5" customHeight="1">
      <c r="A29" s="4" t="s">
        <v>61</v>
      </c>
      <c r="B29" s="396">
        <v>0.21</v>
      </c>
      <c r="C29" s="388" t="s">
        <v>261</v>
      </c>
      <c r="D29" s="20"/>
      <c r="E29" s="21"/>
    </row>
    <row r="30" spans="1:5">
      <c r="A30" s="2"/>
      <c r="B30" s="342"/>
      <c r="C30" s="19"/>
      <c r="D30" s="20"/>
      <c r="E30" s="21"/>
    </row>
    <row r="31" spans="1:5">
      <c r="A31" s="4" t="s">
        <v>131</v>
      </c>
      <c r="B31" s="396">
        <v>5.0000000000000001E-3</v>
      </c>
      <c r="C31" s="569" t="s">
        <v>262</v>
      </c>
      <c r="D31" s="20"/>
      <c r="E31" s="21"/>
    </row>
    <row r="32" spans="1:5">
      <c r="A32" s="4" t="s">
        <v>317</v>
      </c>
      <c r="B32" s="396">
        <v>0</v>
      </c>
      <c r="C32" s="569"/>
      <c r="D32" s="20"/>
      <c r="E32" s="21"/>
    </row>
    <row r="33" spans="1:5">
      <c r="A33" s="4" t="s">
        <v>318</v>
      </c>
      <c r="B33" s="396">
        <v>0</v>
      </c>
      <c r="C33" s="569"/>
      <c r="D33" s="20"/>
      <c r="E33" s="21"/>
    </row>
    <row r="34" spans="1:5">
      <c r="A34" s="2"/>
      <c r="B34" s="342"/>
      <c r="C34" s="19"/>
      <c r="D34" s="20"/>
      <c r="E34" s="21"/>
    </row>
    <row r="35" spans="1:5">
      <c r="A35" s="4" t="s">
        <v>319</v>
      </c>
      <c r="B35" s="397"/>
      <c r="C35" s="553" t="s">
        <v>446</v>
      </c>
      <c r="D35" s="554"/>
      <c r="E35" s="555"/>
    </row>
    <row r="36" spans="1:5">
      <c r="A36" s="4" t="s">
        <v>485</v>
      </c>
      <c r="B36" s="397"/>
      <c r="C36" s="553" t="s">
        <v>263</v>
      </c>
      <c r="D36" s="554"/>
      <c r="E36" s="555"/>
    </row>
    <row r="37" spans="1:5">
      <c r="A37" s="4" t="s">
        <v>480</v>
      </c>
      <c r="B37" s="397">
        <v>1</v>
      </c>
      <c r="C37" s="553" t="s">
        <v>481</v>
      </c>
      <c r="D37" s="554"/>
      <c r="E37" s="555"/>
    </row>
    <row r="38" spans="1:5" ht="12" customHeight="1">
      <c r="A38" s="4" t="s">
        <v>320</v>
      </c>
      <c r="B38" s="398">
        <v>1E-4</v>
      </c>
      <c r="C38" s="557" t="s">
        <v>264</v>
      </c>
      <c r="D38" s="558"/>
      <c r="E38" s="559"/>
    </row>
    <row r="39" spans="1:5">
      <c r="A39" s="518" t="s">
        <v>235</v>
      </c>
      <c r="B39" s="519"/>
      <c r="C39" s="560"/>
      <c r="D39" s="561"/>
      <c r="E39" s="562"/>
    </row>
    <row r="40" spans="1:5">
      <c r="A40" s="521" t="s">
        <v>486</v>
      </c>
      <c r="B40" s="342"/>
      <c r="C40" s="563"/>
      <c r="D40" s="564"/>
      <c r="E40" s="565"/>
    </row>
    <row r="41" spans="1:5">
      <c r="A41" s="2"/>
      <c r="B41" s="342"/>
      <c r="C41" s="342"/>
      <c r="D41" s="342"/>
      <c r="E41" s="342"/>
    </row>
    <row r="42" spans="1:5">
      <c r="A42" s="2"/>
      <c r="B42" s="342"/>
      <c r="C42" s="342"/>
      <c r="D42" s="342"/>
      <c r="E42" s="342"/>
    </row>
    <row r="43" spans="1:5" ht="13.2">
      <c r="A43" s="520" t="s">
        <v>484</v>
      </c>
      <c r="B43" s="551" t="s">
        <v>236</v>
      </c>
      <c r="C43" s="551"/>
      <c r="D43" s="551"/>
      <c r="E43" s="551"/>
    </row>
    <row r="44" spans="1:5" s="233" customFormat="1" ht="21" customHeight="1">
      <c r="A44" s="550" t="s">
        <v>483</v>
      </c>
      <c r="B44" s="550"/>
      <c r="C44" s="550"/>
      <c r="D44" s="550"/>
      <c r="E44" s="550"/>
    </row>
    <row r="45" spans="1:5">
      <c r="D45" s="15"/>
      <c r="E45" s="14"/>
    </row>
    <row r="46" spans="1:5">
      <c r="D46" s="15"/>
      <c r="E46" s="14"/>
    </row>
    <row r="47" spans="1:5">
      <c r="D47" s="15"/>
      <c r="E47" s="14"/>
    </row>
    <row r="48" spans="1:5">
      <c r="D48" s="16"/>
    </row>
  </sheetData>
  <sheetProtection password="8318" sheet="1"/>
  <mergeCells count="12">
    <mergeCell ref="A44:E44"/>
    <mergeCell ref="B43:E43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7" orientation="portrait" horizontalDpi="4294967293" verticalDpi="200" r:id="rId1"/>
  <headerFooter alignWithMargins="0">
    <oddFooter>&amp;C&amp;"Arial,Normal"&amp;8IAPMEI&amp;R&amp;"Arial,Normal"&amp;8&amp;N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CC86-23B2-48A1-A46D-8A9C67BAF2E9}">
  <sheetPr codeName="Sheet3"/>
  <dimension ref="A1:J203"/>
  <sheetViews>
    <sheetView showGridLines="0" zoomScaleNormal="100" workbookViewId="0">
      <selection activeCell="E92" sqref="E92"/>
    </sheetView>
  </sheetViews>
  <sheetFormatPr defaultColWidth="8.6640625" defaultRowHeight="12"/>
  <cols>
    <col min="1" max="1" width="37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8" ht="13.8">
      <c r="A1" s="39"/>
      <c r="B1" s="39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2" t="s">
        <v>108</v>
      </c>
      <c r="B2" s="40"/>
      <c r="C2" s="40"/>
      <c r="D2" s="40"/>
      <c r="E2" s="40"/>
      <c r="F2" s="40"/>
      <c r="G2" s="40"/>
      <c r="H2" s="43" t="str">
        <f>+Pressupostos!B9</f>
        <v>Euros</v>
      </c>
    </row>
    <row r="3" spans="1:8">
      <c r="A3" s="42"/>
      <c r="B3" s="40"/>
      <c r="C3" s="40"/>
      <c r="D3" s="40"/>
      <c r="E3" s="40"/>
      <c r="F3" s="40"/>
      <c r="G3" s="40"/>
      <c r="H3" s="43"/>
    </row>
    <row r="4" spans="1:8" ht="15.6">
      <c r="A4" s="576" t="s">
        <v>143</v>
      </c>
      <c r="B4" s="576"/>
      <c r="C4" s="576"/>
      <c r="D4" s="576"/>
      <c r="E4" s="576"/>
      <c r="F4" s="576"/>
      <c r="G4" s="576"/>
      <c r="H4" s="576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44"/>
      <c r="B6" s="44"/>
      <c r="C6" s="44"/>
      <c r="D6" s="44"/>
      <c r="E6" s="44"/>
      <c r="F6" s="44"/>
      <c r="G6" s="44"/>
      <c r="H6" s="44"/>
    </row>
    <row r="7" spans="1:8">
      <c r="A7" s="44"/>
      <c r="B7" s="44"/>
      <c r="C7" s="44"/>
      <c r="D7" s="44"/>
      <c r="E7" s="44"/>
      <c r="F7" s="44"/>
      <c r="G7" s="44"/>
      <c r="H7" s="44"/>
    </row>
    <row r="8" spans="1:8">
      <c r="A8" s="581"/>
      <c r="B8" s="581"/>
      <c r="C8" s="45">
        <f>+Pressupostos!B11</f>
        <v>2025</v>
      </c>
      <c r="D8" s="45">
        <f>+C8+1</f>
        <v>2026</v>
      </c>
      <c r="E8" s="45">
        <f>+D8+1</f>
        <v>2027</v>
      </c>
      <c r="F8" s="45">
        <f>+E8+1</f>
        <v>2028</v>
      </c>
      <c r="G8" s="45">
        <f>+F8+1</f>
        <v>2029</v>
      </c>
      <c r="H8" s="45">
        <f>+G8+1</f>
        <v>2030</v>
      </c>
    </row>
    <row r="9" spans="1:8">
      <c r="A9" s="46" t="s">
        <v>321</v>
      </c>
      <c r="B9" s="47"/>
      <c r="C9" s="27"/>
      <c r="D9" s="408">
        <v>0.02</v>
      </c>
      <c r="E9" s="408">
        <v>0.02</v>
      </c>
      <c r="F9" s="408">
        <v>0.02</v>
      </c>
      <c r="G9" s="408">
        <v>0.02</v>
      </c>
      <c r="H9" s="408">
        <v>0.02</v>
      </c>
    </row>
    <row r="10" spans="1:8">
      <c r="A10" s="48"/>
      <c r="B10" s="48"/>
      <c r="C10" s="48"/>
      <c r="D10" s="48"/>
      <c r="E10" s="48"/>
      <c r="F10" s="48"/>
      <c r="G10" s="48"/>
      <c r="H10" s="48"/>
    </row>
    <row r="11" spans="1:8">
      <c r="A11" s="48"/>
      <c r="B11" s="48"/>
      <c r="C11" s="48"/>
      <c r="D11" s="48"/>
      <c r="E11" s="48"/>
      <c r="F11" s="48"/>
      <c r="G11" s="48"/>
      <c r="H11" s="48"/>
    </row>
    <row r="12" spans="1:8">
      <c r="A12" s="579" t="s">
        <v>111</v>
      </c>
      <c r="B12" s="580"/>
      <c r="C12" s="45">
        <f t="shared" ref="C12:H12" si="0">+C8</f>
        <v>2025</v>
      </c>
      <c r="D12" s="45">
        <f t="shared" si="0"/>
        <v>2026</v>
      </c>
      <c r="E12" s="45">
        <f t="shared" si="0"/>
        <v>2027</v>
      </c>
      <c r="F12" s="45">
        <f t="shared" si="0"/>
        <v>2028</v>
      </c>
      <c r="G12" s="45">
        <f t="shared" si="0"/>
        <v>2029</v>
      </c>
      <c r="H12" s="45">
        <f t="shared" si="0"/>
        <v>2030</v>
      </c>
    </row>
    <row r="13" spans="1:8">
      <c r="A13" s="571" t="s">
        <v>191</v>
      </c>
      <c r="B13" s="572"/>
      <c r="C13" s="219">
        <f t="shared" ref="C13:H13" si="1">+C16*C14</f>
        <v>499900</v>
      </c>
      <c r="D13" s="219">
        <f t="shared" si="1"/>
        <v>662867.4</v>
      </c>
      <c r="E13" s="219">
        <f t="shared" si="1"/>
        <v>878962.17240000004</v>
      </c>
      <c r="F13" s="219">
        <f t="shared" si="1"/>
        <v>1165503.8406024</v>
      </c>
      <c r="G13" s="219">
        <f t="shared" si="1"/>
        <v>1545458.0926387825</v>
      </c>
      <c r="H13" s="219">
        <f t="shared" si="1"/>
        <v>2049277.4308390259</v>
      </c>
    </row>
    <row r="14" spans="1:8">
      <c r="A14" s="49" t="s">
        <v>322</v>
      </c>
      <c r="B14" s="50"/>
      <c r="C14" s="220">
        <v>10000</v>
      </c>
      <c r="D14" s="221">
        <f>+C14*(1+D15)</f>
        <v>13000</v>
      </c>
      <c r="E14" s="221">
        <f>+D14*(1+E15)</f>
        <v>16900</v>
      </c>
      <c r="F14" s="221">
        <f>+E14*(1+F15)</f>
        <v>21970</v>
      </c>
      <c r="G14" s="221">
        <f>+F14*(1+G15)</f>
        <v>28561</v>
      </c>
      <c r="H14" s="221">
        <f>+G14*(1+H15)</f>
        <v>37129.300000000003</v>
      </c>
    </row>
    <row r="15" spans="1:8">
      <c r="A15" s="49" t="s">
        <v>323</v>
      </c>
      <c r="B15" s="50"/>
      <c r="C15" s="222">
        <v>0</v>
      </c>
      <c r="D15" s="223">
        <v>0.3</v>
      </c>
      <c r="E15" s="223">
        <v>0.3</v>
      </c>
      <c r="F15" s="223">
        <v>0.3</v>
      </c>
      <c r="G15" s="223">
        <v>0.3</v>
      </c>
      <c r="H15" s="223">
        <v>0.3</v>
      </c>
    </row>
    <row r="16" spans="1:8">
      <c r="A16" s="49" t="s">
        <v>2</v>
      </c>
      <c r="B16" s="50"/>
      <c r="C16" s="224">
        <v>49.99</v>
      </c>
      <c r="D16" s="225">
        <f>+C16*(1+D9)</f>
        <v>50.989800000000002</v>
      </c>
      <c r="E16" s="225">
        <f>+D16*(1+E9)</f>
        <v>52.009596000000002</v>
      </c>
      <c r="F16" s="225">
        <f>+E16*(1+F9)</f>
        <v>53.04978792</v>
      </c>
      <c r="G16" s="225">
        <f>+F16*(1+G9)</f>
        <v>54.110783678400004</v>
      </c>
      <c r="H16" s="225">
        <f>+G16*(1+H9)</f>
        <v>55.192999351968005</v>
      </c>
    </row>
    <row r="17" spans="1:8">
      <c r="A17" s="571" t="s">
        <v>192</v>
      </c>
      <c r="B17" s="572"/>
      <c r="C17" s="219">
        <f t="shared" ref="C17:H17" si="2">+C20*C18</f>
        <v>0</v>
      </c>
      <c r="D17" s="219">
        <f t="shared" si="2"/>
        <v>0</v>
      </c>
      <c r="E17" s="219">
        <f t="shared" si="2"/>
        <v>0</v>
      </c>
      <c r="F17" s="219">
        <f t="shared" si="2"/>
        <v>0</v>
      </c>
      <c r="G17" s="219">
        <f t="shared" si="2"/>
        <v>0</v>
      </c>
      <c r="H17" s="219">
        <f t="shared" si="2"/>
        <v>0</v>
      </c>
    </row>
    <row r="18" spans="1:8">
      <c r="A18" s="49" t="s">
        <v>322</v>
      </c>
      <c r="B18" s="50"/>
      <c r="C18" s="220"/>
      <c r="D18" s="221">
        <f>+C18*(1+D19)</f>
        <v>0</v>
      </c>
      <c r="E18" s="221">
        <f>+D18*(1+E19)</f>
        <v>0</v>
      </c>
      <c r="F18" s="221">
        <f>+E18*(1+F19)</f>
        <v>0</v>
      </c>
      <c r="G18" s="221">
        <f>+F18*(1+G19)</f>
        <v>0</v>
      </c>
      <c r="H18" s="221">
        <f>+G18*(1+H19)</f>
        <v>0</v>
      </c>
    </row>
    <row r="19" spans="1:8">
      <c r="A19" s="49" t="s">
        <v>323</v>
      </c>
      <c r="B19" s="50"/>
      <c r="C19" s="222"/>
      <c r="D19" s="223"/>
      <c r="E19" s="223"/>
      <c r="F19" s="223"/>
      <c r="G19" s="223"/>
      <c r="H19" s="223"/>
    </row>
    <row r="20" spans="1:8">
      <c r="A20" s="49" t="s">
        <v>2</v>
      </c>
      <c r="B20" s="50"/>
      <c r="C20" s="224"/>
      <c r="D20" s="225">
        <f>+C20*(1+D9)</f>
        <v>0</v>
      </c>
      <c r="E20" s="225">
        <f>+D20*(1+E9)</f>
        <v>0</v>
      </c>
      <c r="F20" s="225">
        <f>+E20*(1+F9)</f>
        <v>0</v>
      </c>
      <c r="G20" s="225">
        <f>+F20*(1+G9)</f>
        <v>0</v>
      </c>
      <c r="H20" s="225">
        <f>+G20*(1+H9)</f>
        <v>0</v>
      </c>
    </row>
    <row r="21" spans="1:8">
      <c r="A21" s="571" t="s">
        <v>91</v>
      </c>
      <c r="B21" s="572"/>
      <c r="C21" s="219">
        <f t="shared" ref="C21:H21" si="3">+C24*C22</f>
        <v>0</v>
      </c>
      <c r="D21" s="219">
        <f t="shared" si="3"/>
        <v>0</v>
      </c>
      <c r="E21" s="219">
        <f t="shared" si="3"/>
        <v>0</v>
      </c>
      <c r="F21" s="219">
        <f t="shared" si="3"/>
        <v>0</v>
      </c>
      <c r="G21" s="219">
        <f t="shared" si="3"/>
        <v>0</v>
      </c>
      <c r="H21" s="219">
        <f t="shared" si="3"/>
        <v>0</v>
      </c>
    </row>
    <row r="22" spans="1:8">
      <c r="A22" s="49" t="s">
        <v>322</v>
      </c>
      <c r="B22" s="50"/>
      <c r="C22" s="220"/>
      <c r="D22" s="221">
        <f>+C22*(1+D23)</f>
        <v>0</v>
      </c>
      <c r="E22" s="221">
        <f>+D22*(1+E23)</f>
        <v>0</v>
      </c>
      <c r="F22" s="221">
        <f>+E22*(1+F23)</f>
        <v>0</v>
      </c>
      <c r="G22" s="221">
        <f>+F22*(1+G23)</f>
        <v>0</v>
      </c>
      <c r="H22" s="221">
        <f>+G22*(1+H23)</f>
        <v>0</v>
      </c>
    </row>
    <row r="23" spans="1:8">
      <c r="A23" s="49" t="s">
        <v>323</v>
      </c>
      <c r="B23" s="50"/>
      <c r="C23" s="222"/>
      <c r="D23" s="223"/>
      <c r="E23" s="223"/>
      <c r="F23" s="223"/>
      <c r="G23" s="223"/>
      <c r="H23" s="223"/>
    </row>
    <row r="24" spans="1:8">
      <c r="A24" s="49" t="s">
        <v>2</v>
      </c>
      <c r="B24" s="50"/>
      <c r="C24" s="224"/>
      <c r="D24" s="225">
        <f>+C24*(1+D9)</f>
        <v>0</v>
      </c>
      <c r="E24" s="225">
        <f>+D24*(1+E9)</f>
        <v>0</v>
      </c>
      <c r="F24" s="225">
        <f>+E24*(1+F9)</f>
        <v>0</v>
      </c>
      <c r="G24" s="225">
        <f>+F24*(1+G9)</f>
        <v>0</v>
      </c>
      <c r="H24" s="225">
        <f>+G24*(1+H9)</f>
        <v>0</v>
      </c>
    </row>
    <row r="25" spans="1:8">
      <c r="A25" s="571" t="s">
        <v>92</v>
      </c>
      <c r="B25" s="572"/>
      <c r="C25" s="219">
        <f t="shared" ref="C25:H25" si="4">+C28*C26</f>
        <v>0</v>
      </c>
      <c r="D25" s="219">
        <f t="shared" si="4"/>
        <v>0</v>
      </c>
      <c r="E25" s="219">
        <f t="shared" si="4"/>
        <v>0</v>
      </c>
      <c r="F25" s="219">
        <f t="shared" si="4"/>
        <v>0</v>
      </c>
      <c r="G25" s="219">
        <f t="shared" si="4"/>
        <v>0</v>
      </c>
      <c r="H25" s="219">
        <f t="shared" si="4"/>
        <v>0</v>
      </c>
    </row>
    <row r="26" spans="1:8">
      <c r="A26" s="49" t="s">
        <v>322</v>
      </c>
      <c r="B26" s="50"/>
      <c r="C26" s="220"/>
      <c r="D26" s="221">
        <f>+C26*(1+D27)</f>
        <v>0</v>
      </c>
      <c r="E26" s="221">
        <f>+D26*(1+E27)</f>
        <v>0</v>
      </c>
      <c r="F26" s="221">
        <f>+E26*(1+F27)</f>
        <v>0</v>
      </c>
      <c r="G26" s="221">
        <f>+F26*(1+G27)</f>
        <v>0</v>
      </c>
      <c r="H26" s="221">
        <f>+G26*(1+H27)</f>
        <v>0</v>
      </c>
    </row>
    <row r="27" spans="1:8">
      <c r="A27" s="49" t="s">
        <v>323</v>
      </c>
      <c r="B27" s="50"/>
      <c r="C27" s="222"/>
      <c r="D27" s="223"/>
      <c r="E27" s="223"/>
      <c r="F27" s="223"/>
      <c r="G27" s="223"/>
      <c r="H27" s="223"/>
    </row>
    <row r="28" spans="1:8">
      <c r="A28" s="49" t="s">
        <v>2</v>
      </c>
      <c r="B28" s="50"/>
      <c r="C28" s="224"/>
      <c r="D28" s="225">
        <f>+C28*(1+D9)</f>
        <v>0</v>
      </c>
      <c r="E28" s="225">
        <f>+D28*(1+E9)</f>
        <v>0</v>
      </c>
      <c r="F28" s="225">
        <f>+E28*(1+F9)</f>
        <v>0</v>
      </c>
      <c r="G28" s="225">
        <f>+F28*(1+G9)</f>
        <v>0</v>
      </c>
      <c r="H28" s="225">
        <f>+G28*(1+H9)</f>
        <v>0</v>
      </c>
    </row>
    <row r="29" spans="1:8" ht="12.6" thickBot="1">
      <c r="A29" s="577" t="s">
        <v>63</v>
      </c>
      <c r="B29" s="578"/>
      <c r="C29" s="28">
        <f t="shared" ref="C29:H29" si="5">+C13+C17+C21+C25</f>
        <v>499900</v>
      </c>
      <c r="D29" s="28">
        <f t="shared" si="5"/>
        <v>662867.4</v>
      </c>
      <c r="E29" s="28">
        <f t="shared" si="5"/>
        <v>878962.17240000004</v>
      </c>
      <c r="F29" s="28">
        <f t="shared" si="5"/>
        <v>1165503.8406024</v>
      </c>
      <c r="G29" s="28">
        <f t="shared" si="5"/>
        <v>1545458.0926387825</v>
      </c>
      <c r="H29" s="28">
        <f t="shared" si="5"/>
        <v>2049277.4308390259</v>
      </c>
    </row>
    <row r="30" spans="1:8" ht="12.6" thickTop="1">
      <c r="A30" s="51"/>
      <c r="B30" s="51"/>
      <c r="C30" s="52"/>
      <c r="D30" s="52"/>
      <c r="E30" s="52"/>
      <c r="F30" s="52"/>
      <c r="G30" s="52"/>
      <c r="H30" s="52"/>
    </row>
    <row r="31" spans="1:8">
      <c r="A31" s="51"/>
      <c r="B31" s="51"/>
      <c r="C31" s="52"/>
      <c r="D31" s="52"/>
      <c r="E31" s="52"/>
      <c r="F31" s="52"/>
      <c r="G31" s="52"/>
      <c r="H31" s="52"/>
    </row>
    <row r="32" spans="1:8">
      <c r="A32" s="573" t="s">
        <v>112</v>
      </c>
      <c r="B32" s="573"/>
      <c r="C32" s="45">
        <f t="shared" ref="C32:H32" si="6">+C8</f>
        <v>2025</v>
      </c>
      <c r="D32" s="45">
        <f t="shared" si="6"/>
        <v>2026</v>
      </c>
      <c r="E32" s="45">
        <f t="shared" si="6"/>
        <v>2027</v>
      </c>
      <c r="F32" s="45">
        <f t="shared" si="6"/>
        <v>2028</v>
      </c>
      <c r="G32" s="45">
        <f t="shared" si="6"/>
        <v>2029</v>
      </c>
      <c r="H32" s="45">
        <f t="shared" si="6"/>
        <v>2030</v>
      </c>
    </row>
    <row r="33" spans="1:10">
      <c r="A33" s="571" t="str">
        <f>A13</f>
        <v>Produto A</v>
      </c>
      <c r="B33" s="572"/>
      <c r="C33" s="219">
        <f t="shared" ref="C33:H33" si="7">+C36*C34</f>
        <v>1099800</v>
      </c>
      <c r="D33" s="219">
        <f t="shared" si="7"/>
        <v>1570514.4000000001</v>
      </c>
      <c r="E33" s="219">
        <f t="shared" si="7"/>
        <v>2242694.5632000002</v>
      </c>
      <c r="F33" s="219">
        <f t="shared" si="7"/>
        <v>3202567.8362496006</v>
      </c>
      <c r="G33" s="219">
        <f t="shared" si="7"/>
        <v>4573266.8701644298</v>
      </c>
      <c r="H33" s="219">
        <f t="shared" si="7"/>
        <v>6530625.0905948048</v>
      </c>
    </row>
    <row r="34" spans="1:10">
      <c r="A34" s="49" t="s">
        <v>322</v>
      </c>
      <c r="B34" s="50"/>
      <c r="C34" s="220">
        <v>20000</v>
      </c>
      <c r="D34" s="221">
        <f>+C34*(1+D35)</f>
        <v>28000</v>
      </c>
      <c r="E34" s="221">
        <f>+D34*(1+E35)</f>
        <v>39200</v>
      </c>
      <c r="F34" s="221">
        <f>+E34*(1+F35)</f>
        <v>54880</v>
      </c>
      <c r="G34" s="221">
        <f>+F34*(1+G35)</f>
        <v>76832</v>
      </c>
      <c r="H34" s="221">
        <f>+G34*(1+H35)</f>
        <v>107564.79999999999</v>
      </c>
    </row>
    <row r="35" spans="1:10">
      <c r="A35" s="49" t="s">
        <v>323</v>
      </c>
      <c r="B35" s="50"/>
      <c r="C35" s="222">
        <v>0</v>
      </c>
      <c r="D35" s="223">
        <v>0.4</v>
      </c>
      <c r="E35" s="223">
        <v>0.4</v>
      </c>
      <c r="F35" s="223">
        <v>0.4</v>
      </c>
      <c r="G35" s="223">
        <v>0.4</v>
      </c>
      <c r="H35" s="223">
        <v>0.4</v>
      </c>
    </row>
    <row r="36" spans="1:10">
      <c r="A36" s="49" t="s">
        <v>2</v>
      </c>
      <c r="B36" s="50"/>
      <c r="C36" s="224">
        <v>54.99</v>
      </c>
      <c r="D36" s="225">
        <f>+C36*(1+D9)</f>
        <v>56.089800000000004</v>
      </c>
      <c r="E36" s="225">
        <f>+D36*(1+E9)</f>
        <v>57.211596000000007</v>
      </c>
      <c r="F36" s="225">
        <f>+E36*(1+F9)</f>
        <v>58.35582792000001</v>
      </c>
      <c r="G36" s="225">
        <f>+F36*(1+G9)</f>
        <v>59.522944478400014</v>
      </c>
      <c r="H36" s="225">
        <f>+G36*(1+H9)</f>
        <v>60.713403367968013</v>
      </c>
    </row>
    <row r="37" spans="1:10">
      <c r="A37" s="571" t="str">
        <f>A17</f>
        <v>Produto B</v>
      </c>
      <c r="B37" s="572"/>
      <c r="C37" s="219">
        <f t="shared" ref="C37:H37" si="8">+C40*C38</f>
        <v>0</v>
      </c>
      <c r="D37" s="219">
        <f t="shared" si="8"/>
        <v>0</v>
      </c>
      <c r="E37" s="219">
        <f t="shared" si="8"/>
        <v>0</v>
      </c>
      <c r="F37" s="219">
        <f t="shared" si="8"/>
        <v>0</v>
      </c>
      <c r="G37" s="219">
        <f t="shared" si="8"/>
        <v>0</v>
      </c>
      <c r="H37" s="219">
        <f t="shared" si="8"/>
        <v>0</v>
      </c>
    </row>
    <row r="38" spans="1:10">
      <c r="A38" s="49" t="s">
        <v>322</v>
      </c>
      <c r="B38" s="50"/>
      <c r="C38" s="220"/>
      <c r="D38" s="221">
        <f>+C38*(1+D39)</f>
        <v>0</v>
      </c>
      <c r="E38" s="221">
        <f>+D38*(1+E39)</f>
        <v>0</v>
      </c>
      <c r="F38" s="221">
        <f>+E38*(1+F39)</f>
        <v>0</v>
      </c>
      <c r="G38" s="221">
        <f>+F38*(1+G39)</f>
        <v>0</v>
      </c>
      <c r="H38" s="221">
        <f>+G38*(1+H39)</f>
        <v>0</v>
      </c>
    </row>
    <row r="39" spans="1:10">
      <c r="A39" s="49" t="s">
        <v>323</v>
      </c>
      <c r="B39" s="50"/>
      <c r="C39" s="222"/>
      <c r="D39" s="223"/>
      <c r="E39" s="223"/>
      <c r="F39" s="223"/>
      <c r="G39" s="223"/>
      <c r="H39" s="223"/>
    </row>
    <row r="40" spans="1:10">
      <c r="A40" s="49" t="s">
        <v>2</v>
      </c>
      <c r="B40" s="50"/>
      <c r="C40" s="224"/>
      <c r="D40" s="225">
        <f>+C40*(1+D9)</f>
        <v>0</v>
      </c>
      <c r="E40" s="225">
        <f>+D40*(1+E9)</f>
        <v>0</v>
      </c>
      <c r="F40" s="225">
        <f>+E40*(1+F9)</f>
        <v>0</v>
      </c>
      <c r="G40" s="225">
        <f>+F40*(1+G9)</f>
        <v>0</v>
      </c>
      <c r="H40" s="225">
        <f>+G40*(1+H9)</f>
        <v>0</v>
      </c>
    </row>
    <row r="41" spans="1:10" ht="12.6" thickBot="1">
      <c r="A41" s="574" t="s">
        <v>63</v>
      </c>
      <c r="B41" s="574"/>
      <c r="C41" s="28">
        <f t="shared" ref="C41:H41" si="9">+C33+C37</f>
        <v>1099800</v>
      </c>
      <c r="D41" s="28">
        <f t="shared" si="9"/>
        <v>1570514.4000000001</v>
      </c>
      <c r="E41" s="28">
        <f t="shared" si="9"/>
        <v>2242694.5632000002</v>
      </c>
      <c r="F41" s="28">
        <f t="shared" si="9"/>
        <v>3202567.8362496006</v>
      </c>
      <c r="G41" s="28">
        <f t="shared" si="9"/>
        <v>4573266.8701644298</v>
      </c>
      <c r="H41" s="28">
        <f t="shared" si="9"/>
        <v>6530625.0905948048</v>
      </c>
    </row>
    <row r="42" spans="1:10" ht="12.6" thickTop="1">
      <c r="A42" s="53" t="s">
        <v>325</v>
      </c>
      <c r="B42" s="51"/>
      <c r="C42" s="52"/>
      <c r="D42" s="52"/>
      <c r="E42" s="52"/>
      <c r="F42" s="52"/>
      <c r="G42" s="52"/>
      <c r="H42" s="52"/>
    </row>
    <row r="43" spans="1:10">
      <c r="A43" s="410" t="s">
        <v>326</v>
      </c>
      <c r="B43" s="54"/>
      <c r="C43" s="55"/>
      <c r="D43" s="55"/>
      <c r="E43" s="55"/>
      <c r="F43" s="55"/>
      <c r="G43" s="55"/>
      <c r="H43" s="55"/>
      <c r="I43" s="56"/>
      <c r="J43" s="56"/>
    </row>
    <row r="44" spans="1:10">
      <c r="A44" s="48"/>
      <c r="B44" s="54"/>
      <c r="C44" s="55"/>
      <c r="D44" s="55"/>
      <c r="E44" s="55"/>
      <c r="F44" s="55"/>
      <c r="G44" s="55"/>
      <c r="H44" s="55"/>
      <c r="I44" s="56"/>
      <c r="J44" s="56"/>
    </row>
    <row r="45" spans="1:10">
      <c r="A45" s="573" t="s">
        <v>144</v>
      </c>
      <c r="B45" s="573"/>
      <c r="C45" s="45">
        <f t="shared" ref="C45:H45" si="10">+C8</f>
        <v>2025</v>
      </c>
      <c r="D45" s="45">
        <f t="shared" si="10"/>
        <v>2026</v>
      </c>
      <c r="E45" s="45">
        <f t="shared" si="10"/>
        <v>2027</v>
      </c>
      <c r="F45" s="45">
        <f t="shared" si="10"/>
        <v>2028</v>
      </c>
      <c r="G45" s="45">
        <f t="shared" si="10"/>
        <v>2029</v>
      </c>
      <c r="H45" s="45">
        <f t="shared" si="10"/>
        <v>2030</v>
      </c>
      <c r="I45" s="56"/>
      <c r="J45" s="56"/>
    </row>
    <row r="46" spans="1:10">
      <c r="A46" s="571" t="s">
        <v>219</v>
      </c>
      <c r="B46" s="572"/>
      <c r="C46" s="220"/>
      <c r="D46" s="221">
        <f>+C46*(1+D47)</f>
        <v>0</v>
      </c>
      <c r="E46" s="221">
        <f>+D46*(1+E47)</f>
        <v>0</v>
      </c>
      <c r="F46" s="221">
        <f>+E46*(1+F47)</f>
        <v>0</v>
      </c>
      <c r="G46" s="221">
        <f>+F46*(1+G47)</f>
        <v>0</v>
      </c>
      <c r="H46" s="221">
        <f>+G46*(1+H47)</f>
        <v>0</v>
      </c>
      <c r="I46" s="56"/>
      <c r="J46" s="56"/>
    </row>
    <row r="47" spans="1:10">
      <c r="A47" s="49" t="s">
        <v>327</v>
      </c>
      <c r="B47" s="50"/>
      <c r="C47" s="222"/>
      <c r="D47" s="223"/>
      <c r="E47" s="223"/>
      <c r="F47" s="223"/>
      <c r="G47" s="223"/>
      <c r="H47" s="223"/>
      <c r="I47" s="56"/>
      <c r="J47" s="56"/>
    </row>
    <row r="48" spans="1:10">
      <c r="A48" s="571" t="s">
        <v>324</v>
      </c>
      <c r="B48" s="572"/>
      <c r="C48" s="220">
        <v>5000</v>
      </c>
      <c r="D48" s="221">
        <v>6200</v>
      </c>
      <c r="E48" s="221">
        <v>7200</v>
      </c>
      <c r="F48" s="221">
        <v>8600</v>
      </c>
      <c r="G48" s="221">
        <v>10300</v>
      </c>
      <c r="H48" s="221">
        <v>12400</v>
      </c>
      <c r="I48" s="56"/>
      <c r="J48" s="56"/>
    </row>
    <row r="49" spans="1:10">
      <c r="A49" s="49" t="s">
        <v>327</v>
      </c>
      <c r="B49" s="50"/>
      <c r="C49" s="222">
        <v>0</v>
      </c>
      <c r="D49" s="223">
        <v>0.2</v>
      </c>
      <c r="E49" s="223">
        <v>0.2</v>
      </c>
      <c r="F49" s="223">
        <v>0.2</v>
      </c>
      <c r="G49" s="223">
        <v>0.2</v>
      </c>
      <c r="H49" s="223">
        <v>0.2</v>
      </c>
      <c r="I49" s="56"/>
      <c r="J49" s="56"/>
    </row>
    <row r="50" spans="1:10">
      <c r="A50" s="571" t="s">
        <v>328</v>
      </c>
      <c r="B50" s="572"/>
      <c r="C50" s="220">
        <v>2000</v>
      </c>
      <c r="D50" s="221">
        <f>+C50*(1+D51)</f>
        <v>2400</v>
      </c>
      <c r="E50" s="221">
        <f>+D50*(1+E51)</f>
        <v>2880</v>
      </c>
      <c r="F50" s="221">
        <f>+E50*(1+F51)</f>
        <v>3456</v>
      </c>
      <c r="G50" s="221">
        <f>+F50*(1+G51)</f>
        <v>4147.2</v>
      </c>
      <c r="H50" s="221">
        <f>+G50*(1+H51)</f>
        <v>4976.6399999999994</v>
      </c>
      <c r="I50" s="56"/>
      <c r="J50" s="56"/>
    </row>
    <row r="51" spans="1:10">
      <c r="A51" s="49" t="s">
        <v>327</v>
      </c>
      <c r="B51" s="50"/>
      <c r="C51" s="222">
        <v>0</v>
      </c>
      <c r="D51" s="223">
        <v>0.2</v>
      </c>
      <c r="E51" s="223">
        <v>0.2</v>
      </c>
      <c r="F51" s="223">
        <v>0.2</v>
      </c>
      <c r="G51" s="223">
        <v>0.2</v>
      </c>
      <c r="H51" s="223">
        <v>0.2</v>
      </c>
      <c r="I51" s="56"/>
      <c r="J51" s="56"/>
    </row>
    <row r="52" spans="1:10">
      <c r="A52" s="571" t="s">
        <v>329</v>
      </c>
      <c r="B52" s="572"/>
      <c r="C52" s="220"/>
      <c r="D52" s="221">
        <f>+C52*(1+D53)</f>
        <v>0</v>
      </c>
      <c r="E52" s="221">
        <f>+D52*(1+E53)</f>
        <v>0</v>
      </c>
      <c r="F52" s="221">
        <f>+E52*(1+F53)</f>
        <v>0</v>
      </c>
      <c r="G52" s="221">
        <f>+F52*(1+G53)</f>
        <v>0</v>
      </c>
      <c r="H52" s="221">
        <f>+G52*(1+H53)</f>
        <v>0</v>
      </c>
      <c r="I52" s="56"/>
      <c r="J52" s="56"/>
    </row>
    <row r="53" spans="1:10">
      <c r="A53" s="49" t="s">
        <v>327</v>
      </c>
      <c r="B53" s="50"/>
      <c r="C53" s="222"/>
      <c r="D53" s="223"/>
      <c r="E53" s="223"/>
      <c r="F53" s="223"/>
      <c r="G53" s="223"/>
      <c r="H53" s="223"/>
      <c r="I53" s="56"/>
      <c r="J53" s="56"/>
    </row>
    <row r="54" spans="1:10" ht="12.6" thickBot="1">
      <c r="A54" s="574" t="s">
        <v>63</v>
      </c>
      <c r="B54" s="574"/>
      <c r="C54" s="28">
        <f t="shared" ref="C54:H54" si="11">+C46+C48+C50+C52</f>
        <v>7000</v>
      </c>
      <c r="D54" s="28">
        <f t="shared" si="11"/>
        <v>8600</v>
      </c>
      <c r="E54" s="28">
        <f t="shared" si="11"/>
        <v>10080</v>
      </c>
      <c r="F54" s="28">
        <f t="shared" si="11"/>
        <v>12056</v>
      </c>
      <c r="G54" s="28">
        <f t="shared" si="11"/>
        <v>14447.2</v>
      </c>
      <c r="H54" s="28">
        <f t="shared" si="11"/>
        <v>17376.64</v>
      </c>
    </row>
    <row r="55" spans="1:10" ht="12.6" thickTop="1">
      <c r="A55" s="58"/>
      <c r="B55" s="59"/>
      <c r="C55" s="55"/>
      <c r="D55" s="55"/>
      <c r="E55" s="55"/>
      <c r="F55" s="55"/>
      <c r="G55" s="55"/>
      <c r="H55" s="55"/>
      <c r="I55" s="56"/>
      <c r="J55" s="56"/>
    </row>
    <row r="56" spans="1:10">
      <c r="A56" s="58"/>
      <c r="B56" s="59"/>
      <c r="C56" s="55"/>
      <c r="D56" s="55"/>
      <c r="E56" s="55"/>
      <c r="F56" s="55"/>
      <c r="G56" s="55"/>
      <c r="H56" s="55"/>
      <c r="I56" s="56"/>
      <c r="J56" s="56"/>
    </row>
    <row r="57" spans="1:10">
      <c r="A57" s="573" t="s">
        <v>145</v>
      </c>
      <c r="B57" s="573"/>
      <c r="C57" s="60">
        <f t="shared" ref="C57:H57" si="12">+C8</f>
        <v>2025</v>
      </c>
      <c r="D57" s="60">
        <f t="shared" si="12"/>
        <v>2026</v>
      </c>
      <c r="E57" s="60">
        <f t="shared" si="12"/>
        <v>2027</v>
      </c>
      <c r="F57" s="60">
        <f t="shared" si="12"/>
        <v>2028</v>
      </c>
      <c r="G57" s="60">
        <f t="shared" si="12"/>
        <v>2029</v>
      </c>
      <c r="H57" s="60">
        <f t="shared" si="12"/>
        <v>2030</v>
      </c>
      <c r="I57" s="56"/>
      <c r="J57" s="56"/>
    </row>
    <row r="58" spans="1:10">
      <c r="A58" s="571" t="str">
        <f>A46</f>
        <v>Estudos</v>
      </c>
      <c r="B58" s="572"/>
      <c r="C58" s="220"/>
      <c r="D58" s="221"/>
      <c r="E58" s="221"/>
      <c r="F58" s="221"/>
      <c r="G58" s="221"/>
      <c r="H58" s="221"/>
      <c r="I58" s="56"/>
      <c r="J58" s="56"/>
    </row>
    <row r="59" spans="1:10">
      <c r="A59" s="49" t="s">
        <v>327</v>
      </c>
      <c r="B59" s="50"/>
      <c r="C59" s="222"/>
      <c r="D59" s="223"/>
      <c r="E59" s="223"/>
      <c r="F59" s="223"/>
      <c r="G59" s="223"/>
      <c r="H59" s="223"/>
      <c r="I59" s="56"/>
      <c r="J59" s="56"/>
    </row>
    <row r="60" spans="1:10">
      <c r="A60" s="571" t="str">
        <f>A48</f>
        <v>Contratos de Consultoria e Assistência Técnica</v>
      </c>
      <c r="B60" s="572"/>
      <c r="C60" s="220">
        <v>10000</v>
      </c>
      <c r="D60" s="221">
        <f>+C60*(1+D61)</f>
        <v>12000</v>
      </c>
      <c r="E60" s="221">
        <f>+D60*(1+E61)</f>
        <v>14400</v>
      </c>
      <c r="F60" s="221">
        <f>+E60*(1+F61)</f>
        <v>17280</v>
      </c>
      <c r="G60" s="221">
        <f>+F60*(1+G61)</f>
        <v>20736</v>
      </c>
      <c r="H60" s="221">
        <f>+G60*(1+H61)</f>
        <v>24883.200000000001</v>
      </c>
      <c r="I60" s="56"/>
      <c r="J60" s="56"/>
    </row>
    <row r="61" spans="1:10">
      <c r="A61" s="49" t="s">
        <v>327</v>
      </c>
      <c r="B61" s="50"/>
      <c r="C61" s="222">
        <v>0</v>
      </c>
      <c r="D61" s="223">
        <v>0.2</v>
      </c>
      <c r="E61" s="223">
        <v>0.2</v>
      </c>
      <c r="F61" s="223">
        <v>0.2</v>
      </c>
      <c r="G61" s="223">
        <v>0.2</v>
      </c>
      <c r="H61" s="223">
        <v>0.2</v>
      </c>
      <c r="I61" s="56"/>
      <c r="J61" s="56"/>
    </row>
    <row r="62" spans="1:10">
      <c r="A62" s="571" t="str">
        <f>A50</f>
        <v>Serviços Diversos Não Especificados</v>
      </c>
      <c r="B62" s="572"/>
      <c r="C62" s="220">
        <v>4000</v>
      </c>
      <c r="D62" s="221">
        <f>+C62*(1+D63)</f>
        <v>4800</v>
      </c>
      <c r="E62" s="221">
        <f>+D62*(1+E63)</f>
        <v>5760</v>
      </c>
      <c r="F62" s="221">
        <f>+E62*(1+F63)</f>
        <v>6912</v>
      </c>
      <c r="G62" s="221">
        <f>+F62*(1+G63)</f>
        <v>8294.4</v>
      </c>
      <c r="H62" s="221">
        <f>+G62*(1+H63)</f>
        <v>9953.2799999999988</v>
      </c>
      <c r="I62" s="56"/>
      <c r="J62" s="56"/>
    </row>
    <row r="63" spans="1:10">
      <c r="A63" s="49" t="s">
        <v>327</v>
      </c>
      <c r="B63" s="50"/>
      <c r="C63" s="222">
        <v>0</v>
      </c>
      <c r="D63" s="223">
        <v>0.2</v>
      </c>
      <c r="E63" s="223">
        <v>0.2</v>
      </c>
      <c r="F63" s="223">
        <v>0.2</v>
      </c>
      <c r="G63" s="223">
        <v>0.2</v>
      </c>
      <c r="H63" s="223">
        <v>0.2</v>
      </c>
      <c r="I63" s="56"/>
      <c r="J63" s="56"/>
    </row>
    <row r="64" spans="1:10">
      <c r="A64" s="571" t="str">
        <f>A52</f>
        <v>Outros Serviços Diversos Não Especificados</v>
      </c>
      <c r="B64" s="572"/>
      <c r="C64" s="220"/>
      <c r="D64" s="221">
        <f>+C64*(1+D65)</f>
        <v>0</v>
      </c>
      <c r="E64" s="221">
        <f>+D64*(1+E65)</f>
        <v>0</v>
      </c>
      <c r="F64" s="221">
        <f>+E64*(1+F65)</f>
        <v>0</v>
      </c>
      <c r="G64" s="221">
        <f>+F64*(1+G65)</f>
        <v>0</v>
      </c>
      <c r="H64" s="221">
        <f>+G64*(1+H65)</f>
        <v>0</v>
      </c>
      <c r="I64" s="56"/>
      <c r="J64" s="56"/>
    </row>
    <row r="65" spans="1:10">
      <c r="A65" s="49" t="s">
        <v>327</v>
      </c>
      <c r="B65" s="50"/>
      <c r="C65" s="222"/>
      <c r="D65" s="223"/>
      <c r="E65" s="223"/>
      <c r="F65" s="223"/>
      <c r="G65" s="223"/>
      <c r="H65" s="223"/>
      <c r="I65" s="56"/>
      <c r="J65" s="56"/>
    </row>
    <row r="66" spans="1:10" ht="12.6" thickBot="1">
      <c r="A66" s="574" t="s">
        <v>63</v>
      </c>
      <c r="B66" s="574"/>
      <c r="C66" s="28">
        <f t="shared" ref="C66:H66" si="13">+C58+C60+C62+C64</f>
        <v>14000</v>
      </c>
      <c r="D66" s="28">
        <f t="shared" si="13"/>
        <v>16800</v>
      </c>
      <c r="E66" s="28">
        <f t="shared" si="13"/>
        <v>20160</v>
      </c>
      <c r="F66" s="28">
        <f t="shared" si="13"/>
        <v>24192</v>
      </c>
      <c r="G66" s="28">
        <f t="shared" si="13"/>
        <v>29030.400000000001</v>
      </c>
      <c r="H66" s="28">
        <f t="shared" si="13"/>
        <v>34836.479999999996</v>
      </c>
    </row>
    <row r="67" spans="1:10" ht="12.6" thickTop="1">
      <c r="A67" s="58"/>
      <c r="B67" s="59"/>
      <c r="C67" s="55"/>
      <c r="D67" s="55"/>
      <c r="E67" s="55"/>
      <c r="F67" s="55"/>
      <c r="G67" s="55"/>
      <c r="H67" s="55"/>
      <c r="I67" s="56"/>
      <c r="J67" s="56"/>
    </row>
    <row r="68" spans="1:10">
      <c r="A68" s="58"/>
      <c r="B68" s="59"/>
      <c r="C68" s="55"/>
      <c r="D68" s="55"/>
      <c r="E68" s="55"/>
      <c r="F68" s="55"/>
      <c r="G68" s="55"/>
      <c r="H68" s="55"/>
      <c r="I68" s="56"/>
      <c r="J68" s="56"/>
    </row>
    <row r="69" spans="1:10">
      <c r="A69" s="570" t="s">
        <v>113</v>
      </c>
      <c r="B69" s="570"/>
      <c r="C69" s="61">
        <f t="shared" ref="C69:H69" si="14">+C29</f>
        <v>499900</v>
      </c>
      <c r="D69" s="61">
        <f t="shared" si="14"/>
        <v>662867.4</v>
      </c>
      <c r="E69" s="61">
        <f t="shared" si="14"/>
        <v>878962.17240000004</v>
      </c>
      <c r="F69" s="61">
        <f t="shared" si="14"/>
        <v>1165503.8406024</v>
      </c>
      <c r="G69" s="61">
        <f t="shared" si="14"/>
        <v>1545458.0926387825</v>
      </c>
      <c r="H69" s="61">
        <f t="shared" si="14"/>
        <v>2049277.4308390259</v>
      </c>
      <c r="I69" s="56"/>
      <c r="J69" s="56"/>
    </row>
    <row r="70" spans="1:10">
      <c r="A70" s="570" t="s">
        <v>114</v>
      </c>
      <c r="B70" s="570"/>
      <c r="C70" s="61">
        <f t="shared" ref="C70:H70" si="15">+C41</f>
        <v>1099800</v>
      </c>
      <c r="D70" s="61">
        <f t="shared" si="15"/>
        <v>1570514.4000000001</v>
      </c>
      <c r="E70" s="61">
        <f t="shared" si="15"/>
        <v>2242694.5632000002</v>
      </c>
      <c r="F70" s="61">
        <f t="shared" si="15"/>
        <v>3202567.8362496006</v>
      </c>
      <c r="G70" s="61">
        <f t="shared" si="15"/>
        <v>4573266.8701644298</v>
      </c>
      <c r="H70" s="61">
        <f t="shared" si="15"/>
        <v>6530625.0905948048</v>
      </c>
      <c r="I70" s="56"/>
      <c r="J70" s="56"/>
    </row>
    <row r="71" spans="1:10">
      <c r="A71" s="570" t="s">
        <v>45</v>
      </c>
      <c r="B71" s="570"/>
      <c r="C71" s="64">
        <f t="shared" ref="C71:H71" si="16">+C69+C70</f>
        <v>1599700</v>
      </c>
      <c r="D71" s="64">
        <f t="shared" si="16"/>
        <v>2233381.8000000003</v>
      </c>
      <c r="E71" s="64">
        <f t="shared" si="16"/>
        <v>3121656.7356000002</v>
      </c>
      <c r="F71" s="64">
        <f t="shared" si="16"/>
        <v>4368071.6768520009</v>
      </c>
      <c r="G71" s="64">
        <f t="shared" si="16"/>
        <v>6118724.962803212</v>
      </c>
      <c r="H71" s="64">
        <f t="shared" si="16"/>
        <v>8579902.5214338303</v>
      </c>
      <c r="I71" s="56"/>
      <c r="J71" s="56"/>
    </row>
    <row r="72" spans="1:10" ht="12.6" thickBot="1">
      <c r="A72" s="411" t="s">
        <v>93</v>
      </c>
      <c r="B72" s="413">
        <f>+Pressupostos!B18</f>
        <v>0.23</v>
      </c>
      <c r="C72" s="28">
        <f t="shared" ref="C72:H72" si="17">+C69*$B$72</f>
        <v>114977</v>
      </c>
      <c r="D72" s="28">
        <f t="shared" si="17"/>
        <v>152459.50200000001</v>
      </c>
      <c r="E72" s="28">
        <f t="shared" si="17"/>
        <v>202161.29965200002</v>
      </c>
      <c r="F72" s="28">
        <f t="shared" si="17"/>
        <v>268065.88333855203</v>
      </c>
      <c r="G72" s="28">
        <f t="shared" si="17"/>
        <v>355455.36130692001</v>
      </c>
      <c r="H72" s="28">
        <f t="shared" si="17"/>
        <v>471333.80909297598</v>
      </c>
      <c r="I72" s="56"/>
      <c r="J72" s="56"/>
    </row>
    <row r="73" spans="1:10" ht="12.6" thickTop="1">
      <c r="A73" s="51"/>
      <c r="B73" s="62"/>
      <c r="C73" s="52"/>
      <c r="D73" s="52"/>
      <c r="E73" s="52"/>
      <c r="F73" s="52"/>
      <c r="G73" s="52"/>
      <c r="H73" s="52"/>
      <c r="I73" s="56"/>
      <c r="J73" s="56"/>
    </row>
    <row r="74" spans="1:10">
      <c r="A74" s="51"/>
      <c r="B74" s="62"/>
      <c r="C74" s="52"/>
      <c r="D74" s="52"/>
      <c r="E74" s="52"/>
      <c r="F74" s="52"/>
      <c r="G74" s="52"/>
      <c r="H74" s="52"/>
      <c r="I74" s="56"/>
      <c r="J74" s="56"/>
    </row>
    <row r="75" spans="1:10">
      <c r="A75" s="570" t="s">
        <v>146</v>
      </c>
      <c r="B75" s="570"/>
      <c r="C75" s="61">
        <f t="shared" ref="C75:H75" si="18">+C54</f>
        <v>7000</v>
      </c>
      <c r="D75" s="61">
        <f t="shared" si="18"/>
        <v>8600</v>
      </c>
      <c r="E75" s="61">
        <f t="shared" si="18"/>
        <v>10080</v>
      </c>
      <c r="F75" s="61">
        <f t="shared" si="18"/>
        <v>12056</v>
      </c>
      <c r="G75" s="61">
        <f t="shared" si="18"/>
        <v>14447.2</v>
      </c>
      <c r="H75" s="61">
        <f t="shared" si="18"/>
        <v>17376.64</v>
      </c>
      <c r="I75" s="56"/>
      <c r="J75" s="56"/>
    </row>
    <row r="76" spans="1:10">
      <c r="A76" s="570" t="s">
        <v>147</v>
      </c>
      <c r="B76" s="570"/>
      <c r="C76" s="61">
        <f t="shared" ref="C76:H76" si="19">+C66</f>
        <v>14000</v>
      </c>
      <c r="D76" s="61">
        <f t="shared" si="19"/>
        <v>16800</v>
      </c>
      <c r="E76" s="61">
        <f t="shared" si="19"/>
        <v>20160</v>
      </c>
      <c r="F76" s="61">
        <f t="shared" si="19"/>
        <v>24192</v>
      </c>
      <c r="G76" s="61">
        <f t="shared" si="19"/>
        <v>29030.400000000001</v>
      </c>
      <c r="H76" s="61">
        <f t="shared" si="19"/>
        <v>34836.479999999996</v>
      </c>
      <c r="I76" s="56"/>
      <c r="J76" s="56"/>
    </row>
    <row r="77" spans="1:10">
      <c r="A77" s="570" t="s">
        <v>115</v>
      </c>
      <c r="B77" s="570"/>
      <c r="C77" s="64">
        <f t="shared" ref="C77:H77" si="20">+C75+C76</f>
        <v>21000</v>
      </c>
      <c r="D77" s="64">
        <f t="shared" si="20"/>
        <v>25400</v>
      </c>
      <c r="E77" s="64">
        <f t="shared" si="20"/>
        <v>30240</v>
      </c>
      <c r="F77" s="64">
        <f t="shared" si="20"/>
        <v>36248</v>
      </c>
      <c r="G77" s="64">
        <f t="shared" si="20"/>
        <v>43477.600000000006</v>
      </c>
      <c r="H77" s="64">
        <f t="shared" si="20"/>
        <v>52213.119999999995</v>
      </c>
      <c r="I77" s="56"/>
      <c r="J77" s="56"/>
    </row>
    <row r="78" spans="1:10" ht="12.6" thickBot="1">
      <c r="A78" s="411" t="s">
        <v>148</v>
      </c>
      <c r="B78" s="413">
        <f>+Pressupostos!B19</f>
        <v>0.23</v>
      </c>
      <c r="C78" s="28">
        <f t="shared" ref="C78:H78" si="21">+C75*$B$78</f>
        <v>1610</v>
      </c>
      <c r="D78" s="28">
        <f t="shared" si="21"/>
        <v>1978</v>
      </c>
      <c r="E78" s="28">
        <f t="shared" si="21"/>
        <v>2318.4</v>
      </c>
      <c r="F78" s="28">
        <f t="shared" si="21"/>
        <v>2772.88</v>
      </c>
      <c r="G78" s="28">
        <f t="shared" si="21"/>
        <v>3322.8560000000002</v>
      </c>
      <c r="H78" s="28">
        <f t="shared" si="21"/>
        <v>3996.6271999999999</v>
      </c>
      <c r="I78" s="56"/>
      <c r="J78" s="56"/>
    </row>
    <row r="79" spans="1:10" ht="12.6" thickTop="1">
      <c r="A79" s="58"/>
      <c r="B79" s="59"/>
      <c r="C79" s="55"/>
      <c r="D79" s="55"/>
      <c r="E79" s="55"/>
      <c r="F79" s="55"/>
      <c r="G79" s="55"/>
      <c r="H79" s="55"/>
      <c r="I79" s="56"/>
      <c r="J79" s="56"/>
    </row>
    <row r="80" spans="1:10" ht="12.6" thickBot="1">
      <c r="A80" s="575" t="s">
        <v>46</v>
      </c>
      <c r="B80" s="575"/>
      <c r="C80" s="28">
        <f t="shared" ref="C80:H80" si="22">+C71+C77</f>
        <v>1620700</v>
      </c>
      <c r="D80" s="28">
        <f t="shared" si="22"/>
        <v>2258781.8000000003</v>
      </c>
      <c r="E80" s="28">
        <f t="shared" si="22"/>
        <v>3151896.7356000002</v>
      </c>
      <c r="F80" s="28">
        <f t="shared" si="22"/>
        <v>4404319.6768520009</v>
      </c>
      <c r="G80" s="28">
        <f t="shared" si="22"/>
        <v>6162202.5628032116</v>
      </c>
      <c r="H80" s="28">
        <f t="shared" si="22"/>
        <v>8632115.6414338294</v>
      </c>
      <c r="I80" s="56"/>
      <c r="J80" s="56"/>
    </row>
    <row r="81" spans="1:10" ht="12.6" thickTop="1">
      <c r="A81" s="58"/>
      <c r="B81" s="54"/>
      <c r="C81" s="55"/>
      <c r="D81" s="55"/>
      <c r="E81" s="55"/>
      <c r="F81" s="55"/>
      <c r="G81" s="55"/>
      <c r="H81" s="55"/>
      <c r="I81" s="56"/>
      <c r="J81" s="56"/>
    </row>
    <row r="82" spans="1:10" ht="12.6" thickBot="1">
      <c r="A82" s="575" t="s">
        <v>43</v>
      </c>
      <c r="B82" s="575"/>
      <c r="C82" s="28">
        <f t="shared" ref="C82:H82" si="23">+C72+C78</f>
        <v>116587</v>
      </c>
      <c r="D82" s="28">
        <f t="shared" si="23"/>
        <v>154437.50200000001</v>
      </c>
      <c r="E82" s="28">
        <f t="shared" si="23"/>
        <v>204479.69965200001</v>
      </c>
      <c r="F82" s="28">
        <f t="shared" si="23"/>
        <v>270838.76333855203</v>
      </c>
      <c r="G82" s="28">
        <f t="shared" si="23"/>
        <v>358778.21730692004</v>
      </c>
      <c r="H82" s="28">
        <f t="shared" si="23"/>
        <v>475330.43629297597</v>
      </c>
      <c r="I82" s="56"/>
      <c r="J82" s="56"/>
    </row>
    <row r="83" spans="1:10" ht="12.6" thickTop="1">
      <c r="A83" s="48"/>
      <c r="B83" s="48"/>
      <c r="C83" s="48"/>
      <c r="D83" s="48"/>
      <c r="E83" s="48"/>
      <c r="F83" s="48"/>
      <c r="G83" s="48"/>
      <c r="H83" s="48"/>
      <c r="I83" s="56"/>
      <c r="J83" s="56"/>
    </row>
    <row r="84" spans="1:10" ht="12.6" thickBot="1">
      <c r="A84" s="575" t="s">
        <v>50</v>
      </c>
      <c r="B84" s="575"/>
      <c r="C84" s="28">
        <f t="shared" ref="C84:H84" si="24">+C80+C82</f>
        <v>1737287</v>
      </c>
      <c r="D84" s="28">
        <f t="shared" si="24"/>
        <v>2413219.3020000001</v>
      </c>
      <c r="E84" s="28">
        <f t="shared" si="24"/>
        <v>3356376.4352520001</v>
      </c>
      <c r="F84" s="28">
        <f t="shared" si="24"/>
        <v>4675158.4401905527</v>
      </c>
      <c r="G84" s="28">
        <f t="shared" si="24"/>
        <v>6520980.7801101319</v>
      </c>
      <c r="H84" s="28">
        <f t="shared" si="24"/>
        <v>9107446.0777268056</v>
      </c>
      <c r="I84" s="56"/>
      <c r="J84" s="56"/>
    </row>
    <row r="85" spans="1:10" ht="12.6" thickTop="1">
      <c r="A85" s="48"/>
      <c r="B85" s="48"/>
      <c r="C85" s="48"/>
      <c r="D85" s="48"/>
      <c r="E85" s="48"/>
      <c r="F85" s="48"/>
      <c r="G85" s="48"/>
      <c r="H85" s="48"/>
      <c r="I85" s="56"/>
      <c r="J85" s="56"/>
    </row>
    <row r="86" spans="1:10">
      <c r="A86" s="48"/>
      <c r="B86" s="48"/>
      <c r="C86" s="48"/>
      <c r="D86" s="48"/>
      <c r="E86" s="48"/>
      <c r="F86" s="48"/>
      <c r="G86" s="48"/>
      <c r="H86" s="48"/>
      <c r="I86" s="56"/>
      <c r="J86" s="56"/>
    </row>
    <row r="87" spans="1:10" ht="12.6" thickBot="1">
      <c r="A87" s="412" t="s">
        <v>330</v>
      </c>
      <c r="B87" s="344">
        <v>0</v>
      </c>
      <c r="C87" s="28">
        <f t="shared" ref="C87:H87" si="25">+$B$87*C84</f>
        <v>0</v>
      </c>
      <c r="D87" s="28">
        <f t="shared" si="25"/>
        <v>0</v>
      </c>
      <c r="E87" s="28">
        <f t="shared" si="25"/>
        <v>0</v>
      </c>
      <c r="F87" s="28">
        <f t="shared" si="25"/>
        <v>0</v>
      </c>
      <c r="G87" s="28">
        <f t="shared" si="25"/>
        <v>0</v>
      </c>
      <c r="H87" s="28">
        <f t="shared" si="25"/>
        <v>0</v>
      </c>
      <c r="I87" s="56"/>
      <c r="J87" s="56"/>
    </row>
    <row r="88" spans="1:10" ht="12.6" thickTop="1">
      <c r="A88" s="48"/>
      <c r="B88" s="48"/>
      <c r="C88" s="48"/>
      <c r="D88" s="48"/>
      <c r="E88" s="48"/>
      <c r="F88" s="48"/>
      <c r="G88" s="48"/>
      <c r="H88" s="48"/>
    </row>
    <row r="89" spans="1:10">
      <c r="A89" s="56"/>
      <c r="B89" s="56"/>
      <c r="C89" s="56"/>
      <c r="D89" s="56"/>
      <c r="E89" s="56"/>
      <c r="F89" s="56"/>
      <c r="G89" s="56"/>
      <c r="H89" s="56"/>
    </row>
    <row r="90" spans="1:10">
      <c r="A90" s="56"/>
      <c r="B90" s="56"/>
      <c r="C90" s="56"/>
      <c r="D90" s="56"/>
      <c r="E90" s="56"/>
      <c r="F90" s="56"/>
      <c r="G90" s="56"/>
      <c r="H90" s="56"/>
    </row>
    <row r="91" spans="1:10">
      <c r="A91" s="56"/>
      <c r="B91" s="56"/>
      <c r="C91" s="56"/>
      <c r="D91" s="56"/>
      <c r="E91" s="56"/>
      <c r="F91" s="56"/>
      <c r="G91" s="56"/>
      <c r="H91" s="56"/>
    </row>
    <row r="92" spans="1:10">
      <c r="A92" s="56"/>
      <c r="B92" s="56"/>
      <c r="C92" s="56"/>
      <c r="D92" s="56"/>
      <c r="E92" s="56"/>
      <c r="F92" s="56"/>
      <c r="G92" s="56"/>
      <c r="H92" s="56"/>
    </row>
    <row r="93" spans="1:10">
      <c r="A93" s="56"/>
      <c r="B93" s="56"/>
      <c r="C93" s="56"/>
      <c r="D93" s="56"/>
      <c r="E93" s="56"/>
      <c r="F93" s="56"/>
      <c r="G93" s="56"/>
      <c r="H93" s="56"/>
    </row>
    <row r="94" spans="1:10">
      <c r="A94" s="56"/>
      <c r="B94" s="56"/>
      <c r="C94" s="56"/>
      <c r="D94" s="56"/>
      <c r="E94" s="56"/>
      <c r="F94" s="56"/>
      <c r="G94" s="56"/>
      <c r="H94" s="56"/>
    </row>
    <row r="95" spans="1:10">
      <c r="A95" s="56"/>
      <c r="B95" s="56"/>
      <c r="C95" s="56"/>
      <c r="D95" s="56"/>
      <c r="E95" s="56"/>
      <c r="F95" s="56"/>
      <c r="G95" s="56"/>
      <c r="H95" s="56"/>
    </row>
    <row r="96" spans="1:10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  <row r="141" spans="1:8">
      <c r="A141" s="56"/>
      <c r="B141" s="56"/>
      <c r="C141" s="56"/>
      <c r="D141" s="56"/>
      <c r="E141" s="56"/>
      <c r="F141" s="56"/>
      <c r="G141" s="56"/>
      <c r="H141" s="56"/>
    </row>
    <row r="142" spans="1:8">
      <c r="A142" s="56"/>
      <c r="B142" s="56"/>
      <c r="C142" s="56"/>
      <c r="D142" s="56"/>
      <c r="E142" s="56"/>
      <c r="F142" s="56"/>
      <c r="G142" s="56"/>
      <c r="H142" s="56"/>
    </row>
    <row r="143" spans="1:8">
      <c r="A143" s="56"/>
      <c r="B143" s="56"/>
      <c r="C143" s="56"/>
      <c r="D143" s="56"/>
      <c r="E143" s="56"/>
      <c r="F143" s="56"/>
      <c r="G143" s="56"/>
      <c r="H143" s="56"/>
    </row>
    <row r="144" spans="1:8">
      <c r="A144" s="56"/>
      <c r="B144" s="56"/>
      <c r="C144" s="56"/>
      <c r="D144" s="56"/>
      <c r="E144" s="56"/>
      <c r="F144" s="56"/>
      <c r="G144" s="56"/>
      <c r="H144" s="56"/>
    </row>
    <row r="145" spans="1:8">
      <c r="A145" s="56"/>
      <c r="B145" s="56"/>
      <c r="C145" s="56"/>
      <c r="D145" s="56"/>
      <c r="E145" s="56"/>
      <c r="F145" s="56"/>
      <c r="G145" s="56"/>
      <c r="H145" s="56"/>
    </row>
    <row r="146" spans="1:8">
      <c r="A146" s="56"/>
      <c r="B146" s="56"/>
      <c r="C146" s="56"/>
      <c r="D146" s="56"/>
      <c r="E146" s="56"/>
      <c r="F146" s="56"/>
      <c r="G146" s="56"/>
      <c r="H146" s="56"/>
    </row>
    <row r="147" spans="1:8">
      <c r="A147" s="56"/>
      <c r="B147" s="56"/>
      <c r="C147" s="56"/>
      <c r="D147" s="56"/>
      <c r="E147" s="56"/>
      <c r="F147" s="56"/>
      <c r="G147" s="56"/>
      <c r="H147" s="56"/>
    </row>
    <row r="148" spans="1:8">
      <c r="A148" s="56"/>
      <c r="B148" s="56"/>
      <c r="C148" s="56"/>
      <c r="D148" s="56"/>
      <c r="E148" s="56"/>
      <c r="F148" s="56"/>
      <c r="G148" s="56"/>
      <c r="H148" s="56"/>
    </row>
    <row r="149" spans="1:8">
      <c r="A149" s="56"/>
      <c r="B149" s="56"/>
      <c r="C149" s="56"/>
      <c r="D149" s="56"/>
      <c r="E149" s="56"/>
      <c r="F149" s="56"/>
      <c r="G149" s="56"/>
      <c r="H149" s="56"/>
    </row>
    <row r="150" spans="1:8">
      <c r="A150" s="56"/>
      <c r="B150" s="56"/>
      <c r="C150" s="56"/>
      <c r="D150" s="56"/>
      <c r="E150" s="56"/>
      <c r="F150" s="56"/>
      <c r="G150" s="56"/>
      <c r="H150" s="56"/>
    </row>
    <row r="151" spans="1:8">
      <c r="A151" s="56"/>
      <c r="B151" s="56"/>
      <c r="C151" s="56"/>
      <c r="D151" s="56"/>
      <c r="E151" s="56"/>
      <c r="F151" s="56"/>
      <c r="G151" s="56"/>
      <c r="H151" s="56"/>
    </row>
    <row r="152" spans="1:8">
      <c r="A152" s="56"/>
      <c r="B152" s="56"/>
      <c r="C152" s="56"/>
      <c r="D152" s="56"/>
      <c r="E152" s="56"/>
      <c r="F152" s="56"/>
      <c r="G152" s="56"/>
      <c r="H152" s="56"/>
    </row>
    <row r="153" spans="1:8">
      <c r="A153" s="56"/>
      <c r="B153" s="56"/>
      <c r="C153" s="56"/>
      <c r="D153" s="56"/>
      <c r="E153" s="56"/>
      <c r="F153" s="56"/>
      <c r="G153" s="56"/>
      <c r="H153" s="56"/>
    </row>
    <row r="154" spans="1:8">
      <c r="A154" s="56"/>
      <c r="B154" s="56"/>
      <c r="C154" s="56"/>
      <c r="D154" s="56"/>
      <c r="E154" s="56"/>
      <c r="F154" s="56"/>
      <c r="G154" s="56"/>
      <c r="H154" s="56"/>
    </row>
    <row r="155" spans="1:8">
      <c r="A155" s="56"/>
      <c r="B155" s="56"/>
      <c r="C155" s="56"/>
      <c r="D155" s="56"/>
      <c r="E155" s="56"/>
      <c r="F155" s="56"/>
      <c r="G155" s="56"/>
      <c r="H155" s="56"/>
    </row>
    <row r="156" spans="1:8">
      <c r="A156" s="56"/>
      <c r="B156" s="56"/>
      <c r="C156" s="56"/>
      <c r="D156" s="56"/>
      <c r="E156" s="56"/>
      <c r="F156" s="56"/>
      <c r="G156" s="56"/>
      <c r="H156" s="56"/>
    </row>
    <row r="157" spans="1:8">
      <c r="A157" s="56"/>
      <c r="B157" s="56"/>
      <c r="C157" s="56"/>
      <c r="D157" s="56"/>
      <c r="E157" s="56"/>
      <c r="F157" s="56"/>
      <c r="G157" s="56"/>
      <c r="H157" s="56"/>
    </row>
    <row r="158" spans="1:8">
      <c r="A158" s="56"/>
      <c r="B158" s="56"/>
      <c r="C158" s="56"/>
      <c r="D158" s="56"/>
      <c r="E158" s="56"/>
      <c r="F158" s="56"/>
      <c r="G158" s="56"/>
      <c r="H158" s="56"/>
    </row>
    <row r="159" spans="1:8">
      <c r="A159" s="56"/>
      <c r="B159" s="56"/>
      <c r="C159" s="56"/>
      <c r="D159" s="56"/>
      <c r="E159" s="56"/>
      <c r="F159" s="56"/>
      <c r="G159" s="56"/>
      <c r="H159" s="56"/>
    </row>
    <row r="160" spans="1:8">
      <c r="A160" s="56"/>
      <c r="B160" s="56"/>
      <c r="C160" s="56"/>
      <c r="D160" s="56"/>
      <c r="E160" s="56"/>
      <c r="F160" s="56"/>
      <c r="G160" s="56"/>
      <c r="H160" s="56"/>
    </row>
    <row r="161" spans="1:8">
      <c r="A161" s="56"/>
      <c r="B161" s="56"/>
      <c r="C161" s="56"/>
      <c r="D161" s="56"/>
      <c r="E161" s="56"/>
      <c r="F161" s="56"/>
      <c r="G161" s="56"/>
      <c r="H161" s="56"/>
    </row>
    <row r="162" spans="1:8">
      <c r="A162" s="56"/>
      <c r="B162" s="56"/>
      <c r="C162" s="56"/>
      <c r="D162" s="56"/>
      <c r="E162" s="56"/>
      <c r="F162" s="56"/>
      <c r="G162" s="56"/>
      <c r="H162" s="56"/>
    </row>
    <row r="163" spans="1:8">
      <c r="A163" s="56"/>
      <c r="B163" s="56"/>
      <c r="C163" s="56"/>
      <c r="D163" s="56"/>
      <c r="E163" s="56"/>
      <c r="F163" s="56"/>
      <c r="G163" s="56"/>
      <c r="H163" s="56"/>
    </row>
    <row r="164" spans="1:8">
      <c r="A164" s="56"/>
      <c r="B164" s="56"/>
      <c r="C164" s="56"/>
      <c r="D164" s="56"/>
      <c r="E164" s="56"/>
      <c r="F164" s="56"/>
      <c r="G164" s="56"/>
      <c r="H164" s="56"/>
    </row>
    <row r="165" spans="1:8">
      <c r="A165" s="56"/>
      <c r="B165" s="56"/>
      <c r="C165" s="56"/>
      <c r="D165" s="56"/>
      <c r="E165" s="56"/>
      <c r="F165" s="56"/>
      <c r="G165" s="56"/>
      <c r="H165" s="56"/>
    </row>
    <row r="166" spans="1:8">
      <c r="A166" s="56"/>
      <c r="B166" s="56"/>
      <c r="C166" s="56"/>
      <c r="D166" s="56"/>
      <c r="E166" s="56"/>
      <c r="F166" s="56"/>
      <c r="G166" s="56"/>
      <c r="H166" s="56"/>
    </row>
    <row r="167" spans="1:8">
      <c r="A167" s="56"/>
      <c r="B167" s="56"/>
      <c r="C167" s="56"/>
      <c r="D167" s="56"/>
      <c r="E167" s="56"/>
      <c r="F167" s="56"/>
      <c r="G167" s="56"/>
      <c r="H167" s="56"/>
    </row>
    <row r="168" spans="1:8">
      <c r="A168" s="56"/>
      <c r="B168" s="56"/>
      <c r="C168" s="56"/>
      <c r="D168" s="56"/>
      <c r="E168" s="56"/>
      <c r="F168" s="56"/>
      <c r="G168" s="56"/>
      <c r="H168" s="56"/>
    </row>
    <row r="169" spans="1:8">
      <c r="A169" s="56"/>
      <c r="B169" s="56"/>
      <c r="C169" s="56"/>
      <c r="D169" s="56"/>
      <c r="E169" s="56"/>
      <c r="F169" s="56"/>
      <c r="G169" s="56"/>
      <c r="H169" s="56"/>
    </row>
    <row r="170" spans="1:8">
      <c r="A170" s="56"/>
      <c r="B170" s="56"/>
      <c r="C170" s="56"/>
      <c r="D170" s="56"/>
      <c r="E170" s="56"/>
      <c r="F170" s="56"/>
      <c r="G170" s="56"/>
      <c r="H170" s="56"/>
    </row>
    <row r="171" spans="1:8">
      <c r="A171" s="56"/>
      <c r="B171" s="56"/>
      <c r="C171" s="56"/>
      <c r="D171" s="56"/>
      <c r="E171" s="56"/>
      <c r="F171" s="56"/>
      <c r="G171" s="56"/>
      <c r="H171" s="56"/>
    </row>
    <row r="172" spans="1:8">
      <c r="A172" s="56"/>
      <c r="B172" s="56"/>
      <c r="C172" s="56"/>
      <c r="D172" s="56"/>
      <c r="E172" s="56"/>
      <c r="F172" s="56"/>
      <c r="G172" s="56"/>
      <c r="H172" s="56"/>
    </row>
    <row r="173" spans="1:8">
      <c r="A173" s="56"/>
      <c r="B173" s="56"/>
      <c r="C173" s="56"/>
      <c r="D173" s="56"/>
      <c r="E173" s="56"/>
      <c r="F173" s="56"/>
      <c r="G173" s="56"/>
      <c r="H173" s="56"/>
    </row>
    <row r="174" spans="1:8">
      <c r="A174" s="56"/>
      <c r="B174" s="56"/>
      <c r="C174" s="56"/>
      <c r="D174" s="56"/>
      <c r="E174" s="56"/>
      <c r="F174" s="56"/>
      <c r="G174" s="56"/>
      <c r="H174" s="56"/>
    </row>
    <row r="175" spans="1:8">
      <c r="A175" s="56"/>
      <c r="B175" s="56"/>
      <c r="C175" s="56"/>
      <c r="D175" s="56"/>
      <c r="E175" s="56"/>
      <c r="F175" s="56"/>
      <c r="G175" s="56"/>
      <c r="H175" s="56"/>
    </row>
    <row r="176" spans="1:8">
      <c r="A176" s="56"/>
      <c r="B176" s="56"/>
      <c r="C176" s="56"/>
      <c r="D176" s="56"/>
      <c r="E176" s="56"/>
      <c r="F176" s="56"/>
      <c r="G176" s="56"/>
      <c r="H176" s="56"/>
    </row>
    <row r="177" spans="1:8">
      <c r="A177" s="56"/>
      <c r="B177" s="56"/>
      <c r="C177" s="56"/>
      <c r="D177" s="56"/>
      <c r="E177" s="56"/>
      <c r="F177" s="56"/>
      <c r="G177" s="56"/>
      <c r="H177" s="56"/>
    </row>
    <row r="178" spans="1:8">
      <c r="A178" s="56"/>
      <c r="B178" s="56"/>
      <c r="C178" s="56"/>
      <c r="D178" s="56"/>
      <c r="E178" s="56"/>
      <c r="F178" s="56"/>
      <c r="G178" s="56"/>
      <c r="H178" s="56"/>
    </row>
    <row r="179" spans="1:8">
      <c r="A179" s="56"/>
      <c r="B179" s="56"/>
      <c r="C179" s="56"/>
      <c r="D179" s="56"/>
      <c r="E179" s="56"/>
      <c r="F179" s="56"/>
      <c r="G179" s="56"/>
      <c r="H179" s="56"/>
    </row>
    <row r="180" spans="1:8">
      <c r="A180" s="56"/>
      <c r="B180" s="56"/>
      <c r="C180" s="56"/>
      <c r="D180" s="56"/>
      <c r="E180" s="56"/>
      <c r="F180" s="56"/>
      <c r="G180" s="56"/>
      <c r="H180" s="56"/>
    </row>
    <row r="181" spans="1:8">
      <c r="A181" s="56"/>
      <c r="B181" s="56"/>
      <c r="C181" s="56"/>
      <c r="D181" s="56"/>
      <c r="E181" s="56"/>
      <c r="F181" s="56"/>
      <c r="G181" s="56"/>
      <c r="H181" s="56"/>
    </row>
    <row r="182" spans="1:8">
      <c r="A182" s="56"/>
      <c r="B182" s="56"/>
      <c r="C182" s="56"/>
      <c r="D182" s="56"/>
      <c r="E182" s="56"/>
      <c r="F182" s="56"/>
      <c r="G182" s="56"/>
      <c r="H182" s="56"/>
    </row>
    <row r="183" spans="1:8">
      <c r="A183" s="56"/>
      <c r="B183" s="56"/>
      <c r="C183" s="56"/>
      <c r="D183" s="56"/>
      <c r="E183" s="56"/>
      <c r="F183" s="56"/>
      <c r="G183" s="56"/>
      <c r="H183" s="56"/>
    </row>
    <row r="184" spans="1:8">
      <c r="A184" s="56"/>
      <c r="B184" s="56"/>
      <c r="C184" s="56"/>
      <c r="D184" s="56"/>
      <c r="E184" s="56"/>
      <c r="F184" s="56"/>
      <c r="G184" s="56"/>
      <c r="H184" s="56"/>
    </row>
    <row r="185" spans="1:8">
      <c r="A185" s="56"/>
      <c r="B185" s="56"/>
      <c r="C185" s="56"/>
      <c r="D185" s="56"/>
      <c r="E185" s="56"/>
      <c r="F185" s="56"/>
      <c r="G185" s="56"/>
      <c r="H185" s="56"/>
    </row>
    <row r="186" spans="1:8">
      <c r="A186" s="56"/>
      <c r="B186" s="56"/>
      <c r="C186" s="56"/>
      <c r="D186" s="56"/>
      <c r="E186" s="56"/>
      <c r="F186" s="56"/>
      <c r="G186" s="56"/>
      <c r="H186" s="56"/>
    </row>
    <row r="187" spans="1:8">
      <c r="A187" s="56"/>
      <c r="B187" s="56"/>
      <c r="C187" s="56"/>
      <c r="D187" s="56"/>
      <c r="E187" s="56"/>
      <c r="F187" s="56"/>
      <c r="G187" s="56"/>
      <c r="H187" s="56"/>
    </row>
    <row r="188" spans="1:8">
      <c r="A188" s="56"/>
      <c r="B188" s="56"/>
      <c r="C188" s="56"/>
      <c r="D188" s="56"/>
      <c r="E188" s="56"/>
      <c r="F188" s="56"/>
      <c r="G188" s="56"/>
      <c r="H188" s="56"/>
    </row>
    <row r="189" spans="1:8">
      <c r="A189" s="56"/>
      <c r="B189" s="56"/>
      <c r="C189" s="56"/>
      <c r="D189" s="56"/>
      <c r="E189" s="56"/>
      <c r="F189" s="56"/>
      <c r="G189" s="56"/>
      <c r="H189" s="56"/>
    </row>
    <row r="190" spans="1:8">
      <c r="A190" s="56"/>
      <c r="B190" s="56"/>
      <c r="C190" s="56"/>
      <c r="D190" s="56"/>
      <c r="E190" s="56"/>
      <c r="F190" s="56"/>
      <c r="G190" s="56"/>
      <c r="H190" s="56"/>
    </row>
    <row r="191" spans="1:8">
      <c r="A191" s="56"/>
      <c r="B191" s="56"/>
      <c r="C191" s="56"/>
      <c r="D191" s="56"/>
      <c r="E191" s="56"/>
      <c r="F191" s="56"/>
      <c r="G191" s="56"/>
      <c r="H191" s="56"/>
    </row>
    <row r="192" spans="1:8">
      <c r="A192" s="56"/>
      <c r="B192" s="56"/>
      <c r="C192" s="56"/>
      <c r="D192" s="56"/>
      <c r="E192" s="56"/>
      <c r="F192" s="56"/>
      <c r="G192" s="56"/>
      <c r="H192" s="56"/>
    </row>
    <row r="193" spans="1:8">
      <c r="A193" s="56"/>
      <c r="B193" s="56"/>
      <c r="C193" s="56"/>
      <c r="D193" s="56"/>
      <c r="E193" s="56"/>
      <c r="F193" s="56"/>
      <c r="G193" s="56"/>
      <c r="H193" s="56"/>
    </row>
    <row r="194" spans="1:8">
      <c r="A194" s="56"/>
      <c r="B194" s="56"/>
      <c r="C194" s="56"/>
      <c r="D194" s="56"/>
      <c r="E194" s="56"/>
      <c r="F194" s="56"/>
      <c r="G194" s="56"/>
      <c r="H194" s="56"/>
    </row>
    <row r="195" spans="1:8">
      <c r="A195" s="56"/>
      <c r="B195" s="56"/>
      <c r="C195" s="56"/>
      <c r="D195" s="56"/>
      <c r="E195" s="56"/>
      <c r="F195" s="56"/>
      <c r="G195" s="56"/>
      <c r="H195" s="56"/>
    </row>
    <row r="196" spans="1:8">
      <c r="A196" s="56"/>
      <c r="B196" s="56"/>
      <c r="C196" s="56"/>
      <c r="D196" s="56"/>
      <c r="E196" s="56"/>
      <c r="F196" s="56"/>
      <c r="G196" s="56"/>
      <c r="H196" s="56"/>
    </row>
    <row r="197" spans="1:8">
      <c r="A197" s="56"/>
      <c r="B197" s="56"/>
      <c r="C197" s="56"/>
      <c r="D197" s="56"/>
      <c r="E197" s="56"/>
      <c r="F197" s="56"/>
      <c r="G197" s="56"/>
      <c r="H197" s="56"/>
    </row>
    <row r="198" spans="1:8">
      <c r="A198" s="56"/>
      <c r="B198" s="56"/>
      <c r="C198" s="56"/>
      <c r="D198" s="56"/>
      <c r="E198" s="56"/>
      <c r="F198" s="56"/>
      <c r="G198" s="56"/>
      <c r="H198" s="56"/>
    </row>
    <row r="199" spans="1:8">
      <c r="A199" s="56"/>
      <c r="B199" s="56"/>
      <c r="C199" s="56"/>
      <c r="D199" s="56"/>
      <c r="E199" s="56"/>
      <c r="F199" s="56"/>
      <c r="G199" s="56"/>
      <c r="H199" s="56"/>
    </row>
    <row r="200" spans="1:8">
      <c r="A200" s="56"/>
      <c r="B200" s="56"/>
      <c r="C200" s="56"/>
      <c r="D200" s="56"/>
      <c r="E200" s="56"/>
      <c r="F200" s="56"/>
      <c r="G200" s="56"/>
      <c r="H200" s="56"/>
    </row>
    <row r="201" spans="1:8">
      <c r="A201" s="56"/>
      <c r="B201" s="56"/>
      <c r="C201" s="56"/>
      <c r="D201" s="56"/>
      <c r="E201" s="56"/>
      <c r="F201" s="56"/>
      <c r="G201" s="56"/>
      <c r="H201" s="56"/>
    </row>
    <row r="202" spans="1:8">
      <c r="A202" s="56"/>
      <c r="B202" s="56"/>
      <c r="C202" s="56"/>
      <c r="D202" s="56"/>
      <c r="E202" s="56"/>
      <c r="F202" s="56"/>
      <c r="G202" s="56"/>
      <c r="H202" s="56"/>
    </row>
    <row r="203" spans="1:8">
      <c r="A203" s="56"/>
      <c r="B203" s="56"/>
      <c r="C203" s="56"/>
      <c r="D203" s="56"/>
      <c r="E203" s="56"/>
      <c r="F203" s="56"/>
      <c r="G203" s="56"/>
      <c r="H203" s="56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6 E26:H28 D28 E8:H8 E19:H20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3C77-7557-4D8C-8C88-1AC970C22CA5}">
  <sheetPr codeName="Folha2"/>
  <dimension ref="A1:I140"/>
  <sheetViews>
    <sheetView showGridLines="0" showZeros="0" zoomScaleNormal="100" workbookViewId="0">
      <selection activeCell="K10" sqref="K10"/>
    </sheetView>
  </sheetViews>
  <sheetFormatPr defaultColWidth="8.6640625" defaultRowHeight="12"/>
  <cols>
    <col min="1" max="1" width="40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9" ht="13.8">
      <c r="A1" s="39"/>
      <c r="B1" s="39"/>
      <c r="C1" s="40"/>
      <c r="D1" s="40"/>
      <c r="E1" s="40"/>
      <c r="F1" s="40"/>
      <c r="G1" s="406" t="s">
        <v>13</v>
      </c>
      <c r="H1" s="407" t="str">
        <f>+Pressupostos!E1</f>
        <v>Flexible Energies</v>
      </c>
    </row>
    <row r="2" spans="1:9">
      <c r="A2" s="42"/>
      <c r="B2" s="40"/>
      <c r="C2" s="40"/>
      <c r="D2" s="40"/>
      <c r="E2" s="40"/>
      <c r="F2" s="40"/>
      <c r="G2" s="40"/>
      <c r="H2" s="43" t="str">
        <f>+Pressupostos!B9</f>
        <v>Euros</v>
      </c>
      <c r="I2" s="56"/>
    </row>
    <row r="3" spans="1:9">
      <c r="A3" s="42"/>
      <c r="B3" s="40"/>
      <c r="C3" s="40"/>
      <c r="D3" s="40"/>
      <c r="E3" s="40"/>
      <c r="F3" s="40"/>
      <c r="G3" s="40"/>
      <c r="H3" s="43"/>
      <c r="I3" s="56"/>
    </row>
    <row r="4" spans="1:9" ht="15.6">
      <c r="A4" s="576" t="s">
        <v>52</v>
      </c>
      <c r="B4" s="576"/>
      <c r="C4" s="576"/>
      <c r="D4" s="576"/>
      <c r="E4" s="576"/>
      <c r="F4" s="576"/>
      <c r="G4" s="576"/>
      <c r="H4" s="576"/>
      <c r="I4" s="56"/>
    </row>
    <row r="5" spans="1:9">
      <c r="A5" s="44"/>
      <c r="B5" s="44"/>
      <c r="C5" s="44"/>
      <c r="D5" s="44"/>
      <c r="E5" s="44"/>
      <c r="F5" s="44"/>
      <c r="G5" s="44"/>
      <c r="H5" s="44"/>
      <c r="I5" s="56"/>
    </row>
    <row r="6" spans="1:9">
      <c r="A6" s="48"/>
      <c r="B6" s="48"/>
      <c r="C6" s="48"/>
      <c r="D6" s="48"/>
      <c r="E6" s="48"/>
      <c r="F6" s="48"/>
      <c r="G6" s="48"/>
      <c r="H6" s="48"/>
      <c r="I6" s="56"/>
    </row>
    <row r="7" spans="1:9" ht="20.399999999999999">
      <c r="A7" s="414" t="s">
        <v>15</v>
      </c>
      <c r="B7" s="65" t="s">
        <v>487</v>
      </c>
      <c r="C7" s="66">
        <f>+VN!C8</f>
        <v>2025</v>
      </c>
      <c r="D7" s="66">
        <f>+VN!D8</f>
        <v>2026</v>
      </c>
      <c r="E7" s="66">
        <f>+VN!E8</f>
        <v>2027</v>
      </c>
      <c r="F7" s="66">
        <f>+VN!F8</f>
        <v>2028</v>
      </c>
      <c r="G7" s="66">
        <f>+VN!G8</f>
        <v>2029</v>
      </c>
      <c r="H7" s="66">
        <f>+VN!H8</f>
        <v>2030</v>
      </c>
      <c r="I7" s="56"/>
    </row>
    <row r="8" spans="1:9">
      <c r="A8" s="414" t="s">
        <v>124</v>
      </c>
      <c r="B8" s="310"/>
      <c r="C8" s="311">
        <f t="shared" ref="C8:H8" si="0">+SUM(C9:C12)</f>
        <v>199960</v>
      </c>
      <c r="D8" s="311">
        <f t="shared" si="0"/>
        <v>265146.96000000002</v>
      </c>
      <c r="E8" s="311">
        <f t="shared" si="0"/>
        <v>351584.86896000005</v>
      </c>
      <c r="F8" s="311">
        <f t="shared" si="0"/>
        <v>466201.53624096001</v>
      </c>
      <c r="G8" s="311">
        <f t="shared" si="0"/>
        <v>618183.23705551296</v>
      </c>
      <c r="H8" s="311">
        <f t="shared" si="0"/>
        <v>819710.97233561042</v>
      </c>
      <c r="I8" s="56"/>
    </row>
    <row r="9" spans="1:9">
      <c r="A9" s="417" t="str">
        <f>+VN!A13</f>
        <v>Produto A</v>
      </c>
      <c r="B9" s="416">
        <v>0.6</v>
      </c>
      <c r="C9" s="312">
        <f>VN!C13*(1-CMVMC!$B$9)</f>
        <v>199960</v>
      </c>
      <c r="D9" s="312">
        <f>VN!D13*(1-CMVMC!$B$9)</f>
        <v>265146.96000000002</v>
      </c>
      <c r="E9" s="312">
        <f>VN!E13*(1-CMVMC!$B$9)</f>
        <v>351584.86896000005</v>
      </c>
      <c r="F9" s="312">
        <f>VN!F13*(1-CMVMC!$B$9)</f>
        <v>466201.53624096001</v>
      </c>
      <c r="G9" s="312">
        <f>VN!G13*(1-CMVMC!$B$9)</f>
        <v>618183.23705551296</v>
      </c>
      <c r="H9" s="312">
        <f>VN!H13*(1-CMVMC!$B$9)</f>
        <v>819710.97233561042</v>
      </c>
      <c r="I9" s="56"/>
    </row>
    <row r="10" spans="1:9">
      <c r="A10" s="417" t="str">
        <f>+VN!A17</f>
        <v>Produto B</v>
      </c>
      <c r="B10" s="416"/>
      <c r="C10" s="312">
        <f>VN!C17*(1-CMVMC!$B$10)</f>
        <v>0</v>
      </c>
      <c r="D10" s="312">
        <f>VN!D17*(1-CMVMC!$B$10)</f>
        <v>0</v>
      </c>
      <c r="E10" s="312">
        <f>VN!E17*(1-CMVMC!$B$10)</f>
        <v>0</v>
      </c>
      <c r="F10" s="312">
        <f>VN!F17*(1-CMVMC!$B$10)</f>
        <v>0</v>
      </c>
      <c r="G10" s="312">
        <f>VN!G17*(1-CMVMC!$B$10)</f>
        <v>0</v>
      </c>
      <c r="H10" s="312">
        <f>VN!H17*(1-CMVMC!$B$10)</f>
        <v>0</v>
      </c>
      <c r="I10" s="56"/>
    </row>
    <row r="11" spans="1:9">
      <c r="A11" s="417" t="str">
        <f>+VN!A21</f>
        <v>Produto C *</v>
      </c>
      <c r="B11" s="25"/>
      <c r="C11" s="312">
        <f>VN!C21*(1-CMVMC!$B$11)</f>
        <v>0</v>
      </c>
      <c r="D11" s="312">
        <f>VN!D21*(1-CMVMC!$B$11)</f>
        <v>0</v>
      </c>
      <c r="E11" s="312">
        <f>VN!E21*(1-CMVMC!$B$11)</f>
        <v>0</v>
      </c>
      <c r="F11" s="312">
        <f>VN!F21*(1-CMVMC!$B$11)</f>
        <v>0</v>
      </c>
      <c r="G11" s="312">
        <f>VN!G21*(1-CMVMC!$B$11)</f>
        <v>0</v>
      </c>
      <c r="H11" s="312">
        <f>VN!H21*(1-CMVMC!$B$11)</f>
        <v>0</v>
      </c>
      <c r="I11" s="56"/>
    </row>
    <row r="12" spans="1:9">
      <c r="A12" s="417" t="str">
        <f>+VN!A25</f>
        <v>Produto D *</v>
      </c>
      <c r="B12" s="25"/>
      <c r="C12" s="312">
        <f>VN!C25*(1-CMVMC!$B$12)</f>
        <v>0</v>
      </c>
      <c r="D12" s="312">
        <f>VN!D25*(1-CMVMC!$B$12)</f>
        <v>0</v>
      </c>
      <c r="E12" s="312">
        <f>VN!E25*(1-CMVMC!$B$12)</f>
        <v>0</v>
      </c>
      <c r="F12" s="312">
        <f>VN!F25*(1-CMVMC!$B$12)</f>
        <v>0</v>
      </c>
      <c r="G12" s="312">
        <f>VN!G25*(1-CMVMC!$B$12)</f>
        <v>0</v>
      </c>
      <c r="H12" s="312">
        <f>VN!H25*(1-CMVMC!$B$12)</f>
        <v>0</v>
      </c>
      <c r="I12" s="56"/>
    </row>
    <row r="13" spans="1:9">
      <c r="A13" s="414" t="s">
        <v>125</v>
      </c>
      <c r="B13" s="67"/>
      <c r="C13" s="91">
        <f t="shared" ref="C13:H13" si="1">+C15+C14</f>
        <v>1099800</v>
      </c>
      <c r="D13" s="91">
        <f t="shared" si="1"/>
        <v>1570514.4000000001</v>
      </c>
      <c r="E13" s="91">
        <f t="shared" si="1"/>
        <v>2242694.5632000002</v>
      </c>
      <c r="F13" s="91">
        <f t="shared" si="1"/>
        <v>3202567.8362496006</v>
      </c>
      <c r="G13" s="91">
        <f t="shared" si="1"/>
        <v>4573266.8701644298</v>
      </c>
      <c r="H13" s="91">
        <f t="shared" si="1"/>
        <v>6530625.0905948048</v>
      </c>
      <c r="I13" s="56"/>
    </row>
    <row r="14" spans="1:9">
      <c r="A14" s="417" t="str">
        <f>+VN!A33</f>
        <v>Produto A</v>
      </c>
      <c r="B14" s="25"/>
      <c r="C14" s="312">
        <f>VN!C33*(1-CMVMC!$B$14)</f>
        <v>1099800</v>
      </c>
      <c r="D14" s="312">
        <f>VN!D33*(1-CMVMC!$B$14)</f>
        <v>1570514.4000000001</v>
      </c>
      <c r="E14" s="312">
        <f>VN!E33*(1-CMVMC!$B$14)</f>
        <v>2242694.5632000002</v>
      </c>
      <c r="F14" s="312">
        <f>VN!F33*(1-CMVMC!$B$14)</f>
        <v>3202567.8362496006</v>
      </c>
      <c r="G14" s="312">
        <f>VN!G33*(1-CMVMC!$B$14)</f>
        <v>4573266.8701644298</v>
      </c>
      <c r="H14" s="312">
        <f>VN!H33*(1-CMVMC!$B$14)</f>
        <v>6530625.0905948048</v>
      </c>
      <c r="I14" s="56"/>
    </row>
    <row r="15" spans="1:9">
      <c r="A15" s="417" t="str">
        <f>+VN!A37</f>
        <v>Produto B</v>
      </c>
      <c r="B15" s="25"/>
      <c r="C15" s="312">
        <f>VN!C37*(1-CMVMC!$B$15)</f>
        <v>0</v>
      </c>
      <c r="D15" s="312">
        <f>VN!D37*(1-CMVMC!$B$15)</f>
        <v>0</v>
      </c>
      <c r="E15" s="312">
        <f>VN!E37*(1-CMVMC!$B$15)</f>
        <v>0</v>
      </c>
      <c r="F15" s="312">
        <f>VN!F37*(1-CMVMC!$B$15)</f>
        <v>0</v>
      </c>
      <c r="G15" s="312">
        <f>VN!G37*(1-CMVMC!$B$15)</f>
        <v>0</v>
      </c>
      <c r="H15" s="312">
        <f>VN!H37*(1-CMVMC!$B$15)</f>
        <v>0</v>
      </c>
      <c r="I15" s="56"/>
    </row>
    <row r="16" spans="1:9" ht="12.6" thickBot="1">
      <c r="A16" s="574" t="s">
        <v>48</v>
      </c>
      <c r="B16" s="574"/>
      <c r="C16" s="313">
        <f t="shared" ref="C16:H16" si="2">+C8+C13</f>
        <v>1299760</v>
      </c>
      <c r="D16" s="313">
        <f t="shared" si="2"/>
        <v>1835661.36</v>
      </c>
      <c r="E16" s="313">
        <f t="shared" si="2"/>
        <v>2594279.4321600003</v>
      </c>
      <c r="F16" s="313">
        <f t="shared" si="2"/>
        <v>3668769.3724905606</v>
      </c>
      <c r="G16" s="313">
        <f t="shared" si="2"/>
        <v>5191450.1072199428</v>
      </c>
      <c r="H16" s="313">
        <f t="shared" si="2"/>
        <v>7350336.0629304154</v>
      </c>
      <c r="I16" s="56"/>
    </row>
    <row r="17" spans="1:9" ht="12.6" thickTop="1">
      <c r="A17" s="51"/>
      <c r="B17" s="51"/>
      <c r="C17" s="52"/>
      <c r="D17" s="52"/>
      <c r="E17" s="52"/>
      <c r="F17" s="52"/>
      <c r="G17" s="52"/>
      <c r="H17" s="52"/>
      <c r="I17" s="56"/>
    </row>
    <row r="18" spans="1:9" ht="12.6" thickBot="1">
      <c r="A18" s="415" t="s">
        <v>43</v>
      </c>
      <c r="B18" s="409">
        <f>+Pressupostos!B20</f>
        <v>0.23</v>
      </c>
      <c r="C18" s="68">
        <f t="shared" ref="C18:H18" si="3">+C8*$B$18</f>
        <v>45990.8</v>
      </c>
      <c r="D18" s="68">
        <f t="shared" si="3"/>
        <v>60983.800800000005</v>
      </c>
      <c r="E18" s="68">
        <f t="shared" si="3"/>
        <v>80864.519860800021</v>
      </c>
      <c r="F18" s="68">
        <f t="shared" si="3"/>
        <v>107226.3533354208</v>
      </c>
      <c r="G18" s="68">
        <f t="shared" si="3"/>
        <v>142182.14452276798</v>
      </c>
      <c r="H18" s="68">
        <f t="shared" si="3"/>
        <v>188533.5236371904</v>
      </c>
      <c r="I18" s="56"/>
    </row>
    <row r="19" spans="1:9" ht="12.6" thickTop="1">
      <c r="A19" s="48"/>
      <c r="B19" s="48"/>
      <c r="C19" s="48"/>
      <c r="D19" s="48"/>
      <c r="E19" s="48"/>
      <c r="F19" s="48"/>
      <c r="G19" s="48"/>
      <c r="H19" s="48"/>
      <c r="I19" s="56"/>
    </row>
    <row r="20" spans="1:9" ht="12.6" thickBot="1">
      <c r="A20" s="582" t="s">
        <v>49</v>
      </c>
      <c r="B20" s="582"/>
      <c r="C20" s="28">
        <f t="shared" ref="C20:H20" si="4">+C16+C18</f>
        <v>1345750.8</v>
      </c>
      <c r="D20" s="28">
        <f t="shared" si="4"/>
        <v>1896645.1608000002</v>
      </c>
      <c r="E20" s="28">
        <f t="shared" si="4"/>
        <v>2675143.9520208002</v>
      </c>
      <c r="F20" s="28">
        <f t="shared" si="4"/>
        <v>3775995.7258259812</v>
      </c>
      <c r="G20" s="28">
        <f t="shared" si="4"/>
        <v>5333632.2517427113</v>
      </c>
      <c r="H20" s="28">
        <f t="shared" si="4"/>
        <v>7538869.5865676058</v>
      </c>
      <c r="I20" s="56"/>
    </row>
    <row r="21" spans="1:9" ht="12.6" thickTop="1">
      <c r="A21" s="48"/>
      <c r="B21" s="48"/>
      <c r="C21" s="48"/>
      <c r="D21" s="48"/>
      <c r="E21" s="48"/>
      <c r="F21" s="48"/>
      <c r="G21" s="48"/>
      <c r="H21" s="48"/>
      <c r="I21" s="56"/>
    </row>
    <row r="22" spans="1:9">
      <c r="A22" s="48"/>
      <c r="B22" s="48"/>
      <c r="C22" s="48"/>
      <c r="D22" s="48"/>
      <c r="E22" s="48"/>
      <c r="F22" s="48"/>
      <c r="G22" s="48"/>
      <c r="H22" s="48"/>
      <c r="I22" s="56"/>
    </row>
    <row r="23" spans="1:9">
      <c r="A23" s="418" t="s">
        <v>268</v>
      </c>
      <c r="B23" s="48"/>
      <c r="C23" s="48"/>
      <c r="D23" s="48"/>
      <c r="E23" s="48"/>
      <c r="F23" s="48"/>
      <c r="G23" s="48"/>
      <c r="H23" s="48"/>
      <c r="I23" s="56"/>
    </row>
    <row r="24" spans="1:9">
      <c r="A24" s="419" t="s">
        <v>265</v>
      </c>
      <c r="B24" s="48"/>
      <c r="C24" s="48"/>
      <c r="D24" s="48"/>
      <c r="E24" s="48"/>
      <c r="F24" s="48"/>
      <c r="G24" s="48"/>
      <c r="H24" s="48"/>
      <c r="I24" s="56"/>
    </row>
    <row r="25" spans="1:9">
      <c r="A25" s="419" t="s">
        <v>331</v>
      </c>
      <c r="B25" s="48"/>
      <c r="C25" s="48"/>
      <c r="D25" s="48"/>
      <c r="E25" s="48"/>
      <c r="F25" s="48"/>
      <c r="G25" s="48"/>
      <c r="H25" s="48"/>
      <c r="I25" s="56"/>
    </row>
    <row r="26" spans="1:9">
      <c r="A26" s="419" t="s">
        <v>266</v>
      </c>
      <c r="B26" s="48"/>
      <c r="C26" s="48"/>
      <c r="D26" s="48"/>
      <c r="E26" s="48"/>
      <c r="F26" s="48"/>
      <c r="G26" s="48"/>
      <c r="H26" s="48"/>
      <c r="I26" s="56"/>
    </row>
    <row r="27" spans="1:9">
      <c r="A27" s="69"/>
      <c r="B27" s="48"/>
      <c r="C27" s="48"/>
      <c r="D27" s="48"/>
      <c r="E27" s="48"/>
      <c r="F27" s="48"/>
      <c r="G27" s="48"/>
      <c r="H27" s="48"/>
      <c r="I27" s="56"/>
    </row>
    <row r="28" spans="1:9">
      <c r="A28" s="418" t="s">
        <v>267</v>
      </c>
      <c r="B28" s="48"/>
      <c r="C28" s="48"/>
      <c r="D28" s="48"/>
      <c r="E28" s="48"/>
      <c r="F28" s="48"/>
      <c r="G28" s="48"/>
      <c r="H28" s="48"/>
      <c r="I28" s="56"/>
    </row>
    <row r="29" spans="1:9">
      <c r="A29" s="53"/>
      <c r="B29" s="48"/>
      <c r="C29" s="48"/>
      <c r="D29" s="48"/>
      <c r="E29" s="48"/>
      <c r="F29" s="48"/>
      <c r="G29" s="48"/>
      <c r="H29" s="48"/>
      <c r="I29" s="56"/>
    </row>
    <row r="30" spans="1:9">
      <c r="A30" s="70"/>
      <c r="B30" s="56"/>
      <c r="C30" s="56"/>
      <c r="D30" s="56"/>
      <c r="E30" s="56"/>
      <c r="F30" s="56"/>
      <c r="G30" s="56"/>
      <c r="H30" s="56"/>
    </row>
    <row r="31" spans="1:9">
      <c r="A31" s="56"/>
      <c r="B31" s="56"/>
      <c r="C31" s="56"/>
      <c r="D31" s="56"/>
      <c r="E31" s="56"/>
      <c r="F31" s="56"/>
      <c r="G31" s="56"/>
      <c r="H31" s="56"/>
    </row>
    <row r="32" spans="1:9">
      <c r="A32" s="56"/>
      <c r="B32" s="56"/>
      <c r="C32" s="56"/>
      <c r="D32" s="56"/>
      <c r="E32" s="56"/>
      <c r="F32" s="56"/>
      <c r="G32" s="56"/>
      <c r="H32" s="56"/>
    </row>
    <row r="33" spans="1:8">
      <c r="A33" s="56"/>
      <c r="B33" s="56"/>
      <c r="C33" s="56"/>
      <c r="D33" s="56"/>
      <c r="E33" s="56"/>
      <c r="F33" s="56"/>
      <c r="G33" s="56"/>
      <c r="H33" s="56"/>
    </row>
    <row r="34" spans="1:8">
      <c r="A34" s="56"/>
      <c r="B34" s="56"/>
      <c r="C34" s="56"/>
      <c r="D34" s="56"/>
      <c r="E34" s="56"/>
      <c r="F34" s="56"/>
      <c r="G34" s="56"/>
      <c r="H34" s="56"/>
    </row>
    <row r="35" spans="1:8">
      <c r="A35" s="56"/>
      <c r="B35" s="56"/>
      <c r="C35" s="56"/>
      <c r="D35" s="56"/>
      <c r="E35" s="56"/>
      <c r="F35" s="56"/>
      <c r="G35" s="56"/>
      <c r="H35" s="56"/>
    </row>
    <row r="36" spans="1:8">
      <c r="A36" s="56"/>
      <c r="B36" s="56"/>
      <c r="C36" s="56"/>
      <c r="D36" s="56"/>
      <c r="E36" s="56"/>
      <c r="F36" s="56"/>
      <c r="G36" s="56"/>
      <c r="H36" s="56"/>
    </row>
    <row r="37" spans="1:8">
      <c r="A37" s="56"/>
      <c r="B37" s="56"/>
      <c r="C37" s="56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  <row r="39" spans="1:8">
      <c r="A39" s="56"/>
      <c r="B39" s="56"/>
      <c r="C39" s="56"/>
      <c r="D39" s="56"/>
      <c r="E39" s="56"/>
      <c r="F39" s="56"/>
      <c r="G39" s="56"/>
      <c r="H39" s="56"/>
    </row>
    <row r="40" spans="1:8">
      <c r="A40" s="56"/>
      <c r="B40" s="56"/>
      <c r="C40" s="56"/>
      <c r="D40" s="56"/>
      <c r="E40" s="56"/>
      <c r="F40" s="56"/>
      <c r="G40" s="56"/>
      <c r="H40" s="56"/>
    </row>
    <row r="41" spans="1:8">
      <c r="A41" s="56"/>
      <c r="B41" s="56"/>
      <c r="C41" s="56"/>
      <c r="D41" s="56"/>
      <c r="E41" s="56"/>
      <c r="F41" s="56"/>
      <c r="G41" s="56"/>
      <c r="H41" s="56"/>
    </row>
    <row r="42" spans="1:8">
      <c r="A42" s="56"/>
      <c r="B42" s="56"/>
      <c r="C42" s="56"/>
      <c r="D42" s="56"/>
      <c r="E42" s="56"/>
      <c r="F42" s="56"/>
      <c r="G42" s="56"/>
      <c r="H42" s="56"/>
    </row>
    <row r="43" spans="1:8">
      <c r="A43" s="56"/>
      <c r="B43" s="56"/>
      <c r="C43" s="56"/>
      <c r="D43" s="56"/>
      <c r="E43" s="56"/>
      <c r="F43" s="56"/>
      <c r="G43" s="56"/>
      <c r="H43" s="56"/>
    </row>
    <row r="44" spans="1:8">
      <c r="A44" s="56"/>
      <c r="B44" s="56"/>
      <c r="C44" s="56"/>
      <c r="D44" s="56"/>
      <c r="E44" s="56"/>
      <c r="F44" s="56"/>
      <c r="G44" s="56"/>
      <c r="H44" s="56"/>
    </row>
    <row r="45" spans="1:8">
      <c r="A45" s="56"/>
      <c r="B45" s="56"/>
      <c r="C45" s="56"/>
      <c r="D45" s="56"/>
      <c r="E45" s="56"/>
      <c r="F45" s="56"/>
      <c r="G45" s="56"/>
      <c r="H45" s="56"/>
    </row>
    <row r="46" spans="1:8">
      <c r="A46" s="56"/>
      <c r="B46" s="56"/>
      <c r="C46" s="56"/>
      <c r="D46" s="56"/>
      <c r="E46" s="56"/>
      <c r="F46" s="56"/>
      <c r="G46" s="56"/>
      <c r="H46" s="56"/>
    </row>
    <row r="47" spans="1:8">
      <c r="A47" s="56"/>
      <c r="B47" s="56"/>
      <c r="C47" s="56"/>
      <c r="D47" s="56"/>
      <c r="E47" s="56"/>
      <c r="F47" s="56"/>
      <c r="G47" s="56"/>
      <c r="H47" s="56"/>
    </row>
    <row r="48" spans="1:8">
      <c r="A48" s="56"/>
      <c r="B48" s="56"/>
      <c r="C48" s="56"/>
      <c r="D48" s="56"/>
      <c r="E48" s="56"/>
      <c r="F48" s="56"/>
      <c r="G48" s="56"/>
      <c r="H48" s="56"/>
    </row>
    <row r="49" spans="1:8">
      <c r="A49" s="56"/>
      <c r="B49" s="56"/>
      <c r="C49" s="56"/>
      <c r="D49" s="56"/>
      <c r="E49" s="56"/>
      <c r="F49" s="56"/>
      <c r="G49" s="56"/>
      <c r="H49" s="56"/>
    </row>
    <row r="50" spans="1:8">
      <c r="A50" s="56"/>
      <c r="B50" s="56"/>
      <c r="C50" s="56"/>
      <c r="D50" s="56"/>
      <c r="E50" s="56"/>
      <c r="F50" s="56"/>
      <c r="G50" s="56"/>
      <c r="H50" s="56"/>
    </row>
    <row r="51" spans="1:8">
      <c r="A51" s="56"/>
      <c r="B51" s="56"/>
      <c r="C51" s="56"/>
      <c r="D51" s="56"/>
      <c r="E51" s="56"/>
      <c r="F51" s="56"/>
      <c r="G51" s="56"/>
      <c r="H51" s="56"/>
    </row>
    <row r="52" spans="1:8">
      <c r="A52" s="56"/>
      <c r="B52" s="56"/>
      <c r="C52" s="56"/>
      <c r="D52" s="56"/>
      <c r="E52" s="56"/>
      <c r="F52" s="56"/>
      <c r="G52" s="56"/>
      <c r="H52" s="56"/>
    </row>
    <row r="53" spans="1:8">
      <c r="A53" s="56"/>
      <c r="B53" s="56"/>
      <c r="C53" s="56"/>
      <c r="D53" s="56"/>
      <c r="E53" s="56"/>
      <c r="F53" s="56"/>
      <c r="G53" s="56"/>
      <c r="H53" s="56"/>
    </row>
    <row r="54" spans="1:8">
      <c r="A54" s="56"/>
      <c r="B54" s="56"/>
      <c r="C54" s="56"/>
      <c r="D54" s="56"/>
      <c r="E54" s="56"/>
      <c r="F54" s="56"/>
      <c r="G54" s="56"/>
      <c r="H54" s="56"/>
    </row>
    <row r="55" spans="1:8">
      <c r="A55" s="56"/>
      <c r="B55" s="56"/>
      <c r="C55" s="56"/>
      <c r="D55" s="56"/>
      <c r="E55" s="56"/>
      <c r="F55" s="56"/>
      <c r="G55" s="56"/>
      <c r="H55" s="56"/>
    </row>
    <row r="56" spans="1:8">
      <c r="A56" s="56"/>
      <c r="B56" s="56"/>
      <c r="C56" s="56"/>
      <c r="D56" s="56"/>
      <c r="E56" s="56"/>
      <c r="F56" s="56"/>
      <c r="G56" s="56"/>
      <c r="H56" s="56"/>
    </row>
    <row r="57" spans="1:8">
      <c r="A57" s="56"/>
      <c r="B57" s="56"/>
      <c r="C57" s="56"/>
      <c r="D57" s="56"/>
      <c r="E57" s="56"/>
      <c r="F57" s="56"/>
      <c r="G57" s="56"/>
      <c r="H57" s="56"/>
    </row>
    <row r="58" spans="1:8">
      <c r="A58" s="56"/>
      <c r="B58" s="56"/>
      <c r="C58" s="56"/>
      <c r="D58" s="56"/>
      <c r="E58" s="56"/>
      <c r="F58" s="56"/>
      <c r="G58" s="56"/>
      <c r="H58" s="56"/>
    </row>
    <row r="59" spans="1:8">
      <c r="A59" s="56"/>
      <c r="B59" s="56"/>
      <c r="C59" s="56"/>
      <c r="D59" s="56"/>
      <c r="E59" s="56"/>
      <c r="F59" s="56"/>
      <c r="G59" s="56"/>
      <c r="H59" s="56"/>
    </row>
    <row r="60" spans="1:8">
      <c r="A60" s="56"/>
      <c r="B60" s="56"/>
      <c r="C60" s="56"/>
      <c r="D60" s="56"/>
      <c r="E60" s="56"/>
      <c r="F60" s="56"/>
      <c r="G60" s="56"/>
      <c r="H60" s="56"/>
    </row>
    <row r="61" spans="1:8">
      <c r="A61" s="56"/>
      <c r="B61" s="56"/>
      <c r="C61" s="56"/>
      <c r="D61" s="56"/>
      <c r="E61" s="56"/>
      <c r="F61" s="56"/>
      <c r="G61" s="56"/>
      <c r="H61" s="56"/>
    </row>
    <row r="62" spans="1:8">
      <c r="A62" s="56"/>
      <c r="B62" s="56"/>
      <c r="C62" s="56"/>
      <c r="D62" s="56"/>
      <c r="E62" s="56"/>
      <c r="F62" s="56"/>
      <c r="G62" s="56"/>
      <c r="H62" s="56"/>
    </row>
    <row r="63" spans="1:8">
      <c r="A63" s="56"/>
      <c r="B63" s="56"/>
      <c r="C63" s="56"/>
      <c r="D63" s="56"/>
      <c r="E63" s="56"/>
      <c r="F63" s="56"/>
      <c r="G63" s="56"/>
      <c r="H63" s="56"/>
    </row>
    <row r="64" spans="1:8">
      <c r="A64" s="56"/>
      <c r="B64" s="56"/>
      <c r="C64" s="56"/>
      <c r="D64" s="56"/>
      <c r="E64" s="56"/>
      <c r="F64" s="56"/>
      <c r="G64" s="56"/>
      <c r="H64" s="56"/>
    </row>
    <row r="65" spans="1:8">
      <c r="A65" s="56"/>
      <c r="B65" s="56"/>
      <c r="C65" s="56"/>
      <c r="D65" s="56"/>
      <c r="E65" s="56"/>
      <c r="F65" s="56"/>
      <c r="G65" s="56"/>
      <c r="H65" s="56"/>
    </row>
    <row r="66" spans="1:8">
      <c r="A66" s="56"/>
      <c r="B66" s="56"/>
      <c r="C66" s="56"/>
      <c r="D66" s="56"/>
      <c r="E66" s="56"/>
      <c r="F66" s="56"/>
      <c r="G66" s="56"/>
      <c r="H66" s="56"/>
    </row>
    <row r="67" spans="1:8">
      <c r="A67" s="56"/>
      <c r="B67" s="56"/>
      <c r="C67" s="56"/>
      <c r="D67" s="56"/>
      <c r="E67" s="56"/>
      <c r="F67" s="56"/>
      <c r="G67" s="56"/>
      <c r="H67" s="56"/>
    </row>
    <row r="68" spans="1:8">
      <c r="A68" s="56"/>
      <c r="B68" s="56"/>
      <c r="C68" s="56"/>
      <c r="D68" s="56"/>
      <c r="E68" s="56"/>
      <c r="F68" s="56"/>
      <c r="G68" s="56"/>
      <c r="H68" s="56"/>
    </row>
    <row r="69" spans="1:8">
      <c r="A69" s="56"/>
      <c r="B69" s="56"/>
      <c r="C69" s="56"/>
      <c r="D69" s="56"/>
      <c r="E69" s="56"/>
      <c r="F69" s="56"/>
      <c r="G69" s="56"/>
      <c r="H69" s="56"/>
    </row>
    <row r="70" spans="1:8">
      <c r="A70" s="56"/>
      <c r="B70" s="56"/>
      <c r="C70" s="56"/>
      <c r="D70" s="56"/>
      <c r="E70" s="56"/>
      <c r="F70" s="56"/>
      <c r="G70" s="56"/>
      <c r="H70" s="56"/>
    </row>
    <row r="71" spans="1:8">
      <c r="A71" s="56"/>
      <c r="B71" s="56"/>
      <c r="C71" s="56"/>
      <c r="D71" s="56"/>
      <c r="E71" s="56"/>
      <c r="F71" s="56"/>
      <c r="G71" s="56"/>
      <c r="H71" s="56"/>
    </row>
    <row r="72" spans="1:8">
      <c r="A72" s="56"/>
      <c r="B72" s="56"/>
      <c r="C72" s="56"/>
      <c r="D72" s="56"/>
      <c r="E72" s="56"/>
      <c r="F72" s="56"/>
      <c r="G72" s="56"/>
      <c r="H72" s="56"/>
    </row>
    <row r="73" spans="1:8">
      <c r="A73" s="56"/>
      <c r="B73" s="56"/>
      <c r="C73" s="56"/>
      <c r="D73" s="56"/>
      <c r="E73" s="56"/>
      <c r="F73" s="56"/>
      <c r="G73" s="56"/>
      <c r="H73" s="56"/>
    </row>
    <row r="74" spans="1:8">
      <c r="A74" s="56"/>
      <c r="B74" s="56"/>
      <c r="C74" s="56"/>
      <c r="D74" s="56"/>
      <c r="E74" s="56"/>
      <c r="F74" s="56"/>
      <c r="G74" s="56"/>
      <c r="H74" s="56"/>
    </row>
    <row r="75" spans="1:8">
      <c r="A75" s="56"/>
      <c r="B75" s="56"/>
      <c r="C75" s="56"/>
      <c r="D75" s="56"/>
      <c r="E75" s="56"/>
      <c r="F75" s="56"/>
      <c r="G75" s="56"/>
      <c r="H75" s="56"/>
    </row>
    <row r="76" spans="1:8">
      <c r="A76" s="56"/>
      <c r="B76" s="56"/>
      <c r="C76" s="56"/>
      <c r="D76" s="56"/>
      <c r="E76" s="56"/>
      <c r="F76" s="56"/>
      <c r="G76" s="56"/>
      <c r="H76" s="56"/>
    </row>
    <row r="77" spans="1:8">
      <c r="A77" s="56"/>
      <c r="B77" s="56"/>
      <c r="C77" s="56"/>
      <c r="D77" s="56"/>
      <c r="E77" s="56"/>
      <c r="F77" s="56"/>
      <c r="G77" s="56"/>
      <c r="H77" s="56"/>
    </row>
    <row r="78" spans="1:8">
      <c r="A78" s="56"/>
      <c r="B78" s="56"/>
      <c r="C78" s="56"/>
      <c r="D78" s="56"/>
      <c r="E78" s="56"/>
      <c r="F78" s="56"/>
      <c r="G78" s="56"/>
      <c r="H78" s="56"/>
    </row>
    <row r="79" spans="1:8">
      <c r="A79" s="56"/>
      <c r="B79" s="56"/>
      <c r="C79" s="56"/>
      <c r="D79" s="56"/>
      <c r="E79" s="56"/>
      <c r="F79" s="56"/>
      <c r="G79" s="56"/>
      <c r="H79" s="56"/>
    </row>
    <row r="80" spans="1:8">
      <c r="A80" s="56"/>
      <c r="B80" s="56"/>
      <c r="C80" s="56"/>
      <c r="D80" s="56"/>
      <c r="E80" s="56"/>
      <c r="F80" s="56"/>
      <c r="G80" s="56"/>
      <c r="H80" s="56"/>
    </row>
    <row r="81" spans="1:8">
      <c r="A81" s="56"/>
      <c r="B81" s="56"/>
      <c r="C81" s="56"/>
      <c r="D81" s="56"/>
      <c r="E81" s="56"/>
      <c r="F81" s="56"/>
      <c r="G81" s="56"/>
      <c r="H81" s="56"/>
    </row>
    <row r="82" spans="1:8">
      <c r="A82" s="56"/>
      <c r="B82" s="56"/>
      <c r="C82" s="56"/>
      <c r="D82" s="56"/>
      <c r="E82" s="56"/>
      <c r="F82" s="56"/>
      <c r="G82" s="56"/>
      <c r="H82" s="56"/>
    </row>
    <row r="83" spans="1:8">
      <c r="A83" s="56"/>
      <c r="B83" s="56"/>
      <c r="C83" s="56"/>
      <c r="D83" s="56"/>
      <c r="E83" s="56"/>
      <c r="F83" s="56"/>
      <c r="G83" s="56"/>
      <c r="H83" s="56"/>
    </row>
    <row r="84" spans="1:8">
      <c r="A84" s="56"/>
      <c r="B84" s="56"/>
      <c r="C84" s="56"/>
      <c r="D84" s="56"/>
      <c r="E84" s="56"/>
      <c r="F84" s="56"/>
      <c r="G84" s="56"/>
      <c r="H84" s="56"/>
    </row>
    <row r="85" spans="1:8">
      <c r="A85" s="56"/>
      <c r="B85" s="56"/>
      <c r="C85" s="56"/>
      <c r="D85" s="56"/>
      <c r="E85" s="56"/>
      <c r="F85" s="56"/>
      <c r="G85" s="56"/>
      <c r="H85" s="56"/>
    </row>
    <row r="86" spans="1:8">
      <c r="A86" s="56"/>
      <c r="B86" s="56"/>
      <c r="C86" s="56"/>
      <c r="D86" s="56"/>
      <c r="E86" s="56"/>
      <c r="F86" s="56"/>
      <c r="G86" s="56"/>
      <c r="H86" s="56"/>
    </row>
    <row r="87" spans="1:8">
      <c r="A87" s="56"/>
      <c r="B87" s="56"/>
      <c r="C87" s="56"/>
      <c r="D87" s="56"/>
      <c r="E87" s="56"/>
      <c r="F87" s="56"/>
      <c r="G87" s="56"/>
      <c r="H87" s="56"/>
    </row>
    <row r="88" spans="1:8">
      <c r="A88" s="56"/>
      <c r="B88" s="56"/>
      <c r="C88" s="56"/>
      <c r="D88" s="56"/>
      <c r="E88" s="56"/>
      <c r="F88" s="56"/>
      <c r="G88" s="56"/>
      <c r="H88" s="56"/>
    </row>
    <row r="89" spans="1:8">
      <c r="A89" s="56"/>
      <c r="B89" s="56"/>
      <c r="C89" s="56"/>
      <c r="D89" s="56"/>
      <c r="E89" s="56"/>
      <c r="F89" s="56"/>
      <c r="G89" s="56"/>
      <c r="H89" s="56"/>
    </row>
    <row r="90" spans="1:8">
      <c r="A90" s="56"/>
      <c r="B90" s="56"/>
      <c r="C90" s="56"/>
      <c r="D90" s="56"/>
      <c r="E90" s="56"/>
      <c r="F90" s="56"/>
      <c r="G90" s="56"/>
      <c r="H90" s="56"/>
    </row>
    <row r="91" spans="1:8">
      <c r="A91" s="56"/>
      <c r="B91" s="56"/>
      <c r="C91" s="56"/>
      <c r="D91" s="56"/>
      <c r="E91" s="56"/>
      <c r="F91" s="56"/>
      <c r="G91" s="56"/>
      <c r="H91" s="56"/>
    </row>
    <row r="92" spans="1:8">
      <c r="A92" s="56"/>
      <c r="B92" s="56"/>
      <c r="C92" s="56"/>
      <c r="D92" s="56"/>
      <c r="E92" s="56"/>
      <c r="F92" s="56"/>
      <c r="G92" s="56"/>
      <c r="H92" s="56"/>
    </row>
    <row r="93" spans="1:8">
      <c r="A93" s="56"/>
      <c r="B93" s="56"/>
      <c r="C93" s="56"/>
      <c r="D93" s="56"/>
      <c r="E93" s="56"/>
      <c r="F93" s="56"/>
      <c r="G93" s="56"/>
      <c r="H93" s="56"/>
    </row>
    <row r="94" spans="1:8">
      <c r="A94" s="56"/>
      <c r="B94" s="56"/>
      <c r="C94" s="56"/>
      <c r="D94" s="56"/>
      <c r="E94" s="56"/>
      <c r="F94" s="56"/>
      <c r="G94" s="56"/>
      <c r="H94" s="56"/>
    </row>
    <row r="95" spans="1:8">
      <c r="A95" s="56"/>
      <c r="B95" s="56"/>
      <c r="C95" s="56"/>
      <c r="D95" s="56"/>
      <c r="E95" s="56"/>
      <c r="F95" s="56"/>
      <c r="G95" s="56"/>
      <c r="H95" s="56"/>
    </row>
    <row r="96" spans="1:8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2671-462C-49CC-8F1A-C937B2002EF3}">
  <sheetPr codeName="Sheet4"/>
  <dimension ref="A1:K54"/>
  <sheetViews>
    <sheetView showGridLines="0" showZeros="0" zoomScaleNormal="100" workbookViewId="0">
      <selection activeCell="I35" sqref="I35"/>
    </sheetView>
  </sheetViews>
  <sheetFormatPr defaultColWidth="8.6640625" defaultRowHeight="10.199999999999999"/>
  <cols>
    <col min="1" max="1" width="29.6640625" style="56" customWidth="1"/>
    <col min="2" max="4" width="6.44140625" style="56" customWidth="1"/>
    <col min="5" max="5" width="11.88671875" style="56" customWidth="1"/>
    <col min="6" max="14" width="11.44140625" style="56" customWidth="1"/>
    <col min="15" max="16384" width="8.6640625" style="56"/>
  </cols>
  <sheetData>
    <row r="1" spans="1:11" ht="13.8">
      <c r="A1" s="48"/>
      <c r="B1" s="48"/>
      <c r="C1" s="48"/>
      <c r="D1" s="48"/>
      <c r="E1" s="40"/>
      <c r="F1" s="40"/>
      <c r="G1" s="40"/>
      <c r="H1" s="40"/>
      <c r="I1" s="40"/>
      <c r="J1" s="420" t="str">
        <f>+VN!G1</f>
        <v>Empresa:</v>
      </c>
      <c r="K1" s="421" t="str">
        <f>+Pressupostos!E1</f>
        <v>Flexible Energies</v>
      </c>
    </row>
    <row r="2" spans="1:11">
      <c r="A2" s="42"/>
      <c r="B2" s="42"/>
      <c r="C2" s="42"/>
      <c r="D2" s="42"/>
      <c r="E2" s="40"/>
      <c r="F2" s="40"/>
      <c r="G2" s="40"/>
      <c r="H2" s="40"/>
      <c r="I2" s="40"/>
      <c r="J2" s="40"/>
      <c r="K2" s="43" t="str">
        <f>+Pressupostos!B9</f>
        <v>Euros</v>
      </c>
    </row>
    <row r="3" spans="1:11">
      <c r="A3" s="42"/>
      <c r="B3" s="42"/>
      <c r="C3" s="42"/>
      <c r="D3" s="42"/>
      <c r="E3" s="40"/>
      <c r="F3" s="40"/>
      <c r="G3" s="40"/>
      <c r="H3" s="40"/>
      <c r="I3" s="40"/>
      <c r="J3" s="40"/>
      <c r="K3" s="43"/>
    </row>
    <row r="4" spans="1:11" ht="15.6">
      <c r="A4" s="576" t="s">
        <v>51</v>
      </c>
      <c r="B4" s="576"/>
      <c r="C4" s="576"/>
      <c r="D4" s="576"/>
      <c r="E4" s="576"/>
      <c r="F4" s="576"/>
      <c r="G4" s="576"/>
      <c r="H4" s="576"/>
      <c r="I4" s="576"/>
      <c r="J4" s="576"/>
      <c r="K4" s="576"/>
    </row>
    <row r="5" spans="1:1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>
      <c r="A7" s="46"/>
      <c r="B7" s="72"/>
      <c r="C7" s="72"/>
      <c r="D7" s="72"/>
      <c r="E7" s="63"/>
      <c r="F7" s="45">
        <f>+VN!C8</f>
        <v>2025</v>
      </c>
      <c r="G7" s="45">
        <f>+VN!D8</f>
        <v>2026</v>
      </c>
      <c r="H7" s="45">
        <f>+VN!E8</f>
        <v>2027</v>
      </c>
      <c r="I7" s="45">
        <f>+VN!F8</f>
        <v>2028</v>
      </c>
      <c r="J7" s="45">
        <f>+VN!G8</f>
        <v>2029</v>
      </c>
      <c r="K7" s="45">
        <f>+VN!H8</f>
        <v>2030</v>
      </c>
    </row>
    <row r="8" spans="1:11">
      <c r="A8" s="73" t="s">
        <v>488</v>
      </c>
      <c r="B8" s="74"/>
      <c r="C8" s="74"/>
      <c r="D8" s="74"/>
      <c r="E8" s="76"/>
      <c r="F8" s="522">
        <v>12</v>
      </c>
      <c r="G8" s="522">
        <v>12</v>
      </c>
      <c r="H8" s="522">
        <v>12</v>
      </c>
      <c r="I8" s="522">
        <v>12</v>
      </c>
      <c r="J8" s="522">
        <v>12</v>
      </c>
      <c r="K8" s="524">
        <v>12</v>
      </c>
    </row>
    <row r="9" spans="1:11">
      <c r="A9" s="73" t="s">
        <v>491</v>
      </c>
      <c r="B9" s="74"/>
      <c r="C9" s="74"/>
      <c r="D9" s="74"/>
      <c r="E9" s="76"/>
      <c r="F9" s="77">
        <v>0</v>
      </c>
      <c r="G9" s="523">
        <v>0.04</v>
      </c>
      <c r="H9" s="523">
        <v>0.04</v>
      </c>
      <c r="I9" s="523">
        <v>0.04</v>
      </c>
      <c r="J9" s="523">
        <v>0.04</v>
      </c>
      <c r="K9" s="523">
        <v>0.04</v>
      </c>
    </row>
    <row r="10" spans="1:1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</row>
    <row r="12" spans="1:11">
      <c r="A12" s="46"/>
      <c r="B12" s="45" t="s">
        <v>90</v>
      </c>
      <c r="C12" s="45" t="s">
        <v>490</v>
      </c>
      <c r="D12" s="45" t="s">
        <v>489</v>
      </c>
      <c r="E12" s="45" t="s">
        <v>53</v>
      </c>
      <c r="F12" s="45">
        <f>+VN!C8</f>
        <v>2025</v>
      </c>
      <c r="G12" s="45">
        <f>+VN!D8</f>
        <v>2026</v>
      </c>
      <c r="H12" s="45">
        <f>+VN!E8</f>
        <v>2027</v>
      </c>
      <c r="I12" s="45">
        <f>+VN!F8</f>
        <v>2028</v>
      </c>
      <c r="J12" s="45">
        <f>+VN!G8</f>
        <v>2029</v>
      </c>
      <c r="K12" s="45">
        <f>+VN!H8</f>
        <v>2030</v>
      </c>
    </row>
    <row r="13" spans="1:11">
      <c r="A13" s="425" t="s">
        <v>23</v>
      </c>
      <c r="B13" s="423">
        <f>Pressupostos!$B$21</f>
        <v>0.23</v>
      </c>
      <c r="C13" s="424">
        <f>100%-D13</f>
        <v>1</v>
      </c>
      <c r="D13" s="345"/>
      <c r="E13" s="299"/>
      <c r="F13" s="314">
        <f>E13*$F$8</f>
        <v>0</v>
      </c>
      <c r="G13" s="314">
        <f>+E13*$G$8*(1+$G$9)</f>
        <v>0</v>
      </c>
      <c r="H13" s="314">
        <f>+E13*(1+$G$9)*(1+$H$9)*H$8</f>
        <v>0</v>
      </c>
      <c r="I13" s="314">
        <f>+H13*(1+I$9)</f>
        <v>0</v>
      </c>
      <c r="J13" s="314">
        <f t="shared" ref="J13:K15" si="0">+I13*(1+J$9)</f>
        <v>0</v>
      </c>
      <c r="K13" s="314">
        <f t="shared" si="0"/>
        <v>0</v>
      </c>
    </row>
    <row r="14" spans="1:11">
      <c r="A14" s="426" t="s">
        <v>332</v>
      </c>
      <c r="B14" s="346"/>
      <c r="C14" s="347"/>
      <c r="D14" s="346"/>
      <c r="E14" s="300"/>
      <c r="F14" s="315"/>
      <c r="G14" s="315"/>
      <c r="H14" s="315"/>
      <c r="I14" s="315"/>
      <c r="J14" s="315"/>
      <c r="K14" s="315"/>
    </row>
    <row r="15" spans="1:11">
      <c r="A15" s="245" t="s">
        <v>333</v>
      </c>
      <c r="B15" s="423">
        <f>Pressupostos!$B$21</f>
        <v>0.23</v>
      </c>
      <c r="C15" s="424">
        <f t="shared" ref="C15:C42" si="1">100%-D15</f>
        <v>1</v>
      </c>
      <c r="D15" s="345"/>
      <c r="E15" s="299">
        <v>250</v>
      </c>
      <c r="F15" s="314">
        <f t="shared" ref="F15:F20" si="2">E15*$F$8</f>
        <v>3000</v>
      </c>
      <c r="G15" s="314">
        <f t="shared" ref="G15:G20" si="3">+E15*$G$8*(1+$G$9)</f>
        <v>3120</v>
      </c>
      <c r="H15" s="314">
        <f t="shared" ref="H15:H20" si="4">+E15*(1+$G$9)*(1+$H$9)*H$8</f>
        <v>3244.8</v>
      </c>
      <c r="I15" s="314">
        <f t="shared" ref="I15:I20" si="5">+H15*(1+I$9)</f>
        <v>3374.5920000000001</v>
      </c>
      <c r="J15" s="314">
        <f t="shared" si="0"/>
        <v>3509.5756800000004</v>
      </c>
      <c r="K15" s="314">
        <f t="shared" si="0"/>
        <v>3649.9587072000004</v>
      </c>
    </row>
    <row r="16" spans="1:11">
      <c r="A16" s="245" t="s">
        <v>334</v>
      </c>
      <c r="B16" s="423">
        <f>Pressupostos!$B$21</f>
        <v>0.23</v>
      </c>
      <c r="C16" s="424">
        <f t="shared" si="1"/>
        <v>1</v>
      </c>
      <c r="D16" s="345"/>
      <c r="E16" s="299">
        <v>400</v>
      </c>
      <c r="F16" s="314">
        <f t="shared" si="2"/>
        <v>4800</v>
      </c>
      <c r="G16" s="314">
        <f t="shared" si="3"/>
        <v>4992</v>
      </c>
      <c r="H16" s="314">
        <f t="shared" si="4"/>
        <v>5191.68</v>
      </c>
      <c r="I16" s="314">
        <f t="shared" si="5"/>
        <v>5399.3472000000002</v>
      </c>
      <c r="J16" s="314">
        <f t="shared" ref="J16:K20" si="6">+I16*(1+J$9)</f>
        <v>5615.3210880000006</v>
      </c>
      <c r="K16" s="314">
        <f t="shared" si="6"/>
        <v>5839.9339315200004</v>
      </c>
    </row>
    <row r="17" spans="1:11">
      <c r="A17" s="245" t="s">
        <v>335</v>
      </c>
      <c r="B17" s="423">
        <f>Pressupostos!$B$21</f>
        <v>0.23</v>
      </c>
      <c r="C17" s="424">
        <f t="shared" si="1"/>
        <v>1</v>
      </c>
      <c r="D17" s="345"/>
      <c r="E17" s="299"/>
      <c r="F17" s="314">
        <f t="shared" si="2"/>
        <v>0</v>
      </c>
      <c r="G17" s="314">
        <f>G19</f>
        <v>0</v>
      </c>
      <c r="H17" s="314">
        <f t="shared" si="4"/>
        <v>0</v>
      </c>
      <c r="I17" s="314">
        <f t="shared" si="5"/>
        <v>0</v>
      </c>
      <c r="J17" s="314">
        <f t="shared" si="6"/>
        <v>0</v>
      </c>
      <c r="K17" s="314">
        <f t="shared" si="6"/>
        <v>0</v>
      </c>
    </row>
    <row r="18" spans="1:11">
      <c r="A18" s="245" t="s">
        <v>29</v>
      </c>
      <c r="B18" s="423">
        <f>Pressupostos!$B$21</f>
        <v>0.23</v>
      </c>
      <c r="C18" s="424">
        <f t="shared" si="1"/>
        <v>1</v>
      </c>
      <c r="D18" s="345"/>
      <c r="E18" s="299">
        <v>300</v>
      </c>
      <c r="F18" s="314">
        <f t="shared" si="2"/>
        <v>3600</v>
      </c>
      <c r="G18" s="314">
        <f t="shared" si="3"/>
        <v>3744</v>
      </c>
      <c r="H18" s="314">
        <f t="shared" si="4"/>
        <v>3893.76</v>
      </c>
      <c r="I18" s="314">
        <f t="shared" si="5"/>
        <v>4049.5104000000006</v>
      </c>
      <c r="J18" s="314">
        <f t="shared" si="6"/>
        <v>4211.4908160000005</v>
      </c>
      <c r="K18" s="314">
        <f t="shared" si="6"/>
        <v>4379.950448640001</v>
      </c>
    </row>
    <row r="19" spans="1:11">
      <c r="A19" s="245" t="s">
        <v>25</v>
      </c>
      <c r="B19" s="423">
        <f>Pressupostos!$B$21</f>
        <v>0.23</v>
      </c>
      <c r="C19" s="424">
        <f t="shared" si="1"/>
        <v>1</v>
      </c>
      <c r="D19" s="345"/>
      <c r="E19" s="299"/>
      <c r="F19" s="314">
        <f t="shared" si="2"/>
        <v>0</v>
      </c>
      <c r="G19" s="314">
        <f t="shared" si="3"/>
        <v>0</v>
      </c>
      <c r="H19" s="314">
        <f t="shared" si="4"/>
        <v>0</v>
      </c>
      <c r="I19" s="314">
        <f t="shared" si="5"/>
        <v>0</v>
      </c>
      <c r="J19" s="314">
        <f t="shared" si="6"/>
        <v>0</v>
      </c>
      <c r="K19" s="314">
        <f t="shared" si="6"/>
        <v>0</v>
      </c>
    </row>
    <row r="20" spans="1:11">
      <c r="A20" s="245" t="s">
        <v>336</v>
      </c>
      <c r="B20" s="423">
        <f>Pressupostos!$B$21</f>
        <v>0.23</v>
      </c>
      <c r="C20" s="424">
        <f t="shared" si="1"/>
        <v>1</v>
      </c>
      <c r="D20" s="345"/>
      <c r="E20" s="299">
        <v>100</v>
      </c>
      <c r="F20" s="314">
        <f t="shared" si="2"/>
        <v>1200</v>
      </c>
      <c r="G20" s="314">
        <f t="shared" si="3"/>
        <v>1248</v>
      </c>
      <c r="H20" s="314">
        <f t="shared" si="4"/>
        <v>1297.92</v>
      </c>
      <c r="I20" s="314">
        <f t="shared" si="5"/>
        <v>1349.8368</v>
      </c>
      <c r="J20" s="314">
        <f t="shared" si="6"/>
        <v>1403.8302720000002</v>
      </c>
      <c r="K20" s="314">
        <f t="shared" si="6"/>
        <v>1459.9834828800001</v>
      </c>
    </row>
    <row r="21" spans="1:11">
      <c r="A21" s="426" t="s">
        <v>164</v>
      </c>
      <c r="B21" s="346"/>
      <c r="C21" s="347"/>
      <c r="D21" s="346"/>
      <c r="E21" s="300"/>
      <c r="F21" s="315"/>
      <c r="G21" s="315"/>
      <c r="H21" s="315"/>
      <c r="I21" s="315"/>
      <c r="J21" s="315"/>
      <c r="K21" s="315"/>
    </row>
    <row r="22" spans="1:11">
      <c r="A22" s="245" t="s">
        <v>337</v>
      </c>
      <c r="B22" s="423">
        <f>Pressupostos!$B$21</f>
        <v>0.23</v>
      </c>
      <c r="C22" s="424">
        <f t="shared" si="1"/>
        <v>1</v>
      </c>
      <c r="D22" s="345"/>
      <c r="E22" s="299">
        <v>50</v>
      </c>
      <c r="F22" s="314">
        <f>E22*$F$8</f>
        <v>600</v>
      </c>
      <c r="G22" s="314">
        <f>+E22*$G$8*(1+$G$9)</f>
        <v>624</v>
      </c>
      <c r="H22" s="314">
        <f>+E22*(1+$G$9)*(1+$H$9)*H$8</f>
        <v>648.96</v>
      </c>
      <c r="I22" s="314">
        <f t="shared" ref="I22:K25" si="7">+H22*(1+I$9)</f>
        <v>674.91840000000002</v>
      </c>
      <c r="J22" s="314">
        <f t="shared" si="7"/>
        <v>701.91513600000008</v>
      </c>
      <c r="K22" s="314">
        <f t="shared" si="7"/>
        <v>729.99174144000006</v>
      </c>
    </row>
    <row r="23" spans="1:11">
      <c r="A23" s="245" t="s">
        <v>338</v>
      </c>
      <c r="B23" s="423">
        <f>Pressupostos!$B$21</f>
        <v>0.23</v>
      </c>
      <c r="C23" s="424">
        <f t="shared" si="1"/>
        <v>1</v>
      </c>
      <c r="D23" s="345"/>
      <c r="E23" s="299"/>
      <c r="F23" s="314">
        <f>E23*$F$8</f>
        <v>0</v>
      </c>
      <c r="G23" s="314">
        <f>+E23*$G$8*(1+$G$9)</f>
        <v>0</v>
      </c>
      <c r="H23" s="314">
        <f>+E23*(1+$G$9)*(1+$H$9)*H$8</f>
        <v>0</v>
      </c>
      <c r="I23" s="314">
        <f t="shared" si="7"/>
        <v>0</v>
      </c>
      <c r="J23" s="314">
        <f t="shared" si="7"/>
        <v>0</v>
      </c>
      <c r="K23" s="314">
        <f t="shared" si="7"/>
        <v>0</v>
      </c>
    </row>
    <row r="24" spans="1:11">
      <c r="A24" s="245" t="s">
        <v>339</v>
      </c>
      <c r="B24" s="423">
        <f>Pressupostos!$B$21</f>
        <v>0.23</v>
      </c>
      <c r="C24" s="424">
        <f t="shared" si="1"/>
        <v>1</v>
      </c>
      <c r="D24" s="345"/>
      <c r="E24" s="299">
        <v>40</v>
      </c>
      <c r="F24" s="314">
        <f>E24*$F$8</f>
        <v>480</v>
      </c>
      <c r="G24" s="314">
        <f>+E24*$G$8*(1+$G$9)</f>
        <v>499.20000000000005</v>
      </c>
      <c r="H24" s="314">
        <f>+E24*(1+$G$9)*(1+$H$9)*H$8</f>
        <v>519.16800000000001</v>
      </c>
      <c r="I24" s="314">
        <f t="shared" si="7"/>
        <v>539.93471999999997</v>
      </c>
      <c r="J24" s="314">
        <f t="shared" si="7"/>
        <v>561.53210879999995</v>
      </c>
      <c r="K24" s="314">
        <f t="shared" si="7"/>
        <v>583.99339315199995</v>
      </c>
    </row>
    <row r="25" spans="1:11">
      <c r="A25" s="245" t="s">
        <v>340</v>
      </c>
      <c r="B25" s="423">
        <f>Pressupostos!$B$21</f>
        <v>0.23</v>
      </c>
      <c r="C25" s="424">
        <f t="shared" si="1"/>
        <v>1</v>
      </c>
      <c r="D25" s="345"/>
      <c r="E25" s="299"/>
      <c r="F25" s="314">
        <f>E25*$F$8</f>
        <v>0</v>
      </c>
      <c r="G25" s="314">
        <f>+E25*$G$8*(1+$G$9)</f>
        <v>0</v>
      </c>
      <c r="H25" s="314">
        <f>+E25*(1+$G$9)*(1+$H$9)*H$8</f>
        <v>0</v>
      </c>
      <c r="I25" s="314">
        <f t="shared" si="7"/>
        <v>0</v>
      </c>
      <c r="J25" s="314">
        <f t="shared" si="7"/>
        <v>0</v>
      </c>
      <c r="K25" s="314">
        <f t="shared" si="7"/>
        <v>0</v>
      </c>
    </row>
    <row r="26" spans="1:11">
      <c r="A26" s="426" t="s">
        <v>341</v>
      </c>
      <c r="B26" s="346"/>
      <c r="C26" s="347"/>
      <c r="D26" s="346"/>
      <c r="E26" s="300"/>
      <c r="F26" s="315"/>
      <c r="G26" s="315"/>
      <c r="H26" s="315"/>
      <c r="I26" s="315"/>
      <c r="J26" s="315"/>
      <c r="K26" s="315"/>
    </row>
    <row r="27" spans="1:11">
      <c r="A27" s="245" t="s">
        <v>269</v>
      </c>
      <c r="B27" s="423">
        <f>Pressupostos!$B$21</f>
        <v>0.23</v>
      </c>
      <c r="C27" s="424">
        <f t="shared" si="1"/>
        <v>1</v>
      </c>
      <c r="D27" s="345"/>
      <c r="E27" s="299">
        <v>2000</v>
      </c>
      <c r="F27" s="314">
        <f>E27*$F$8</f>
        <v>24000</v>
      </c>
      <c r="G27" s="314">
        <f>+E27*$G$8*(1+$G$9)</f>
        <v>24960</v>
      </c>
      <c r="H27" s="314">
        <f>+E27*(1+$G$9)*(1+$H$9)*H$8</f>
        <v>25958.400000000001</v>
      </c>
      <c r="I27" s="314">
        <f t="shared" ref="I27:K29" si="8">+H27*(1+I$9)</f>
        <v>26996.736000000001</v>
      </c>
      <c r="J27" s="314">
        <f t="shared" si="8"/>
        <v>28076.605440000003</v>
      </c>
      <c r="K27" s="314">
        <f t="shared" si="8"/>
        <v>29199.669657600003</v>
      </c>
    </row>
    <row r="28" spans="1:11">
      <c r="A28" s="245" t="s">
        <v>165</v>
      </c>
      <c r="B28" s="423">
        <f>Pressupostos!$B$21</f>
        <v>0.23</v>
      </c>
      <c r="C28" s="424">
        <f t="shared" si="1"/>
        <v>1</v>
      </c>
      <c r="D28" s="345"/>
      <c r="E28" s="299">
        <v>500</v>
      </c>
      <c r="F28" s="314">
        <f>E28*$F$8</f>
        <v>6000</v>
      </c>
      <c r="G28" s="314">
        <f>+E28*$G$8*(1+$G$9)</f>
        <v>6240</v>
      </c>
      <c r="H28" s="314">
        <f>+E28*(1+$G$9)*(1+$H$9)*H$8</f>
        <v>6489.6</v>
      </c>
      <c r="I28" s="314">
        <f t="shared" si="8"/>
        <v>6749.1840000000002</v>
      </c>
      <c r="J28" s="314">
        <f t="shared" si="8"/>
        <v>7019.1513600000008</v>
      </c>
      <c r="K28" s="314">
        <f t="shared" si="8"/>
        <v>7299.9174144000008</v>
      </c>
    </row>
    <row r="29" spans="1:11">
      <c r="A29" s="245" t="s">
        <v>166</v>
      </c>
      <c r="B29" s="423">
        <v>0.06</v>
      </c>
      <c r="C29" s="424">
        <f t="shared" si="1"/>
        <v>1</v>
      </c>
      <c r="D29" s="345"/>
      <c r="E29" s="299">
        <v>200</v>
      </c>
      <c r="F29" s="314">
        <f>E29*$F$8</f>
        <v>2400</v>
      </c>
      <c r="G29" s="314">
        <f>+E29*$G$8*(1+$G$9)</f>
        <v>2496</v>
      </c>
      <c r="H29" s="314">
        <f>+E29*(1+$G$9)*(1+$H$9)*H$8</f>
        <v>2595.84</v>
      </c>
      <c r="I29" s="314">
        <f t="shared" si="8"/>
        <v>2699.6736000000001</v>
      </c>
      <c r="J29" s="314">
        <f t="shared" si="8"/>
        <v>2807.6605440000003</v>
      </c>
      <c r="K29" s="314">
        <f t="shared" si="8"/>
        <v>2919.9669657600002</v>
      </c>
    </row>
    <row r="30" spans="1:11">
      <c r="A30" s="426" t="s">
        <v>342</v>
      </c>
      <c r="B30" s="346"/>
      <c r="C30" s="347"/>
      <c r="D30" s="346"/>
      <c r="E30" s="300"/>
      <c r="F30" s="315"/>
      <c r="G30" s="315"/>
      <c r="H30" s="315"/>
      <c r="I30" s="315"/>
      <c r="J30" s="315"/>
      <c r="K30" s="315"/>
    </row>
    <row r="31" spans="1:11">
      <c r="A31" s="245" t="s">
        <v>167</v>
      </c>
      <c r="B31" s="423">
        <f>Pressupostos!$B$21</f>
        <v>0.23</v>
      </c>
      <c r="C31" s="424">
        <f t="shared" si="1"/>
        <v>1</v>
      </c>
      <c r="D31" s="345"/>
      <c r="E31" s="299">
        <v>150</v>
      </c>
      <c r="F31" s="314">
        <f>E31*$F$8</f>
        <v>1800</v>
      </c>
      <c r="G31" s="314">
        <f>+E31*$G$8*(1+$G$9)</f>
        <v>1872</v>
      </c>
      <c r="H31" s="314">
        <f>+E31*(1+$G$9)*(1+$H$9)*H$8</f>
        <v>1946.88</v>
      </c>
      <c r="I31" s="314">
        <f t="shared" ref="I31:K33" si="9">+H31*(1+I$9)</f>
        <v>2024.7552000000003</v>
      </c>
      <c r="J31" s="314">
        <f t="shared" si="9"/>
        <v>2105.7454080000002</v>
      </c>
      <c r="K31" s="314">
        <f t="shared" si="9"/>
        <v>2189.9752243200005</v>
      </c>
    </row>
    <row r="32" spans="1:11">
      <c r="A32" s="245" t="s">
        <v>343</v>
      </c>
      <c r="B32" s="423">
        <f>Pressupostos!$B$21</f>
        <v>0.23</v>
      </c>
      <c r="C32" s="424">
        <f t="shared" si="1"/>
        <v>1</v>
      </c>
      <c r="D32" s="345"/>
      <c r="E32" s="299"/>
      <c r="F32" s="314">
        <f>E32*$F$8</f>
        <v>0</v>
      </c>
      <c r="G32" s="314">
        <f>+E32*$G$8*(1+$G$9)</f>
        <v>0</v>
      </c>
      <c r="H32" s="314">
        <f>+E32*(1+$G$9)*(1+$H$9)*H$8</f>
        <v>0</v>
      </c>
      <c r="I32" s="314">
        <f t="shared" si="9"/>
        <v>0</v>
      </c>
      <c r="J32" s="314">
        <f t="shared" si="9"/>
        <v>0</v>
      </c>
      <c r="K32" s="314">
        <f t="shared" si="9"/>
        <v>0</v>
      </c>
    </row>
    <row r="33" spans="1:11">
      <c r="A33" s="245" t="s">
        <v>344</v>
      </c>
      <c r="B33" s="423">
        <f>Pressupostos!$B$21</f>
        <v>0.23</v>
      </c>
      <c r="C33" s="424">
        <f t="shared" si="1"/>
        <v>1</v>
      </c>
      <c r="D33" s="345"/>
      <c r="E33" s="299">
        <v>180</v>
      </c>
      <c r="F33" s="314">
        <f>E33*$F$8</f>
        <v>2160</v>
      </c>
      <c r="G33" s="314">
        <f>+E33*$G$8*(1+$G$9)</f>
        <v>2246.4</v>
      </c>
      <c r="H33" s="314">
        <f>+E33*(1+$G$9)*(1+$H$9)*H$8</f>
        <v>2336.2560000000003</v>
      </c>
      <c r="I33" s="314">
        <f t="shared" si="9"/>
        <v>2429.7062400000004</v>
      </c>
      <c r="J33" s="314">
        <f t="shared" si="9"/>
        <v>2526.8944896000007</v>
      </c>
      <c r="K33" s="314">
        <f t="shared" si="9"/>
        <v>2627.9702691840007</v>
      </c>
    </row>
    <row r="34" spans="1:11">
      <c r="A34" s="427" t="s">
        <v>345</v>
      </c>
      <c r="B34" s="346"/>
      <c r="C34" s="347"/>
      <c r="D34" s="346"/>
      <c r="E34" s="300"/>
      <c r="F34" s="315"/>
      <c r="G34" s="315"/>
      <c r="H34" s="315"/>
      <c r="I34" s="315"/>
      <c r="J34" s="315"/>
      <c r="K34" s="315"/>
    </row>
    <row r="35" spans="1:11">
      <c r="A35" s="245" t="s">
        <v>346</v>
      </c>
      <c r="B35" s="423">
        <f>Pressupostos!$B$21</f>
        <v>0.23</v>
      </c>
      <c r="C35" s="424">
        <f t="shared" si="1"/>
        <v>1</v>
      </c>
      <c r="D35" s="345"/>
      <c r="E35" s="299">
        <v>5000</v>
      </c>
      <c r="F35" s="314">
        <f t="shared" ref="F35:F42" si="10">E35*$F$8</f>
        <v>60000</v>
      </c>
      <c r="G35" s="314">
        <f t="shared" ref="G35:G42" si="11">+E35*$G$8*(1+$G$9)</f>
        <v>62400</v>
      </c>
      <c r="H35" s="314">
        <v>64800</v>
      </c>
      <c r="I35" s="314">
        <f t="shared" ref="I35:K42" si="12">+H35*(1+I$9)</f>
        <v>67392</v>
      </c>
      <c r="J35" s="314">
        <f t="shared" si="12"/>
        <v>70087.680000000008</v>
      </c>
      <c r="K35" s="314">
        <f t="shared" si="12"/>
        <v>72891.187200000015</v>
      </c>
    </row>
    <row r="36" spans="1:11">
      <c r="A36" s="245" t="s">
        <v>27</v>
      </c>
      <c r="B36" s="423">
        <f>Pressupostos!$B$21</f>
        <v>0.23</v>
      </c>
      <c r="C36" s="424">
        <f t="shared" si="1"/>
        <v>1</v>
      </c>
      <c r="D36" s="345"/>
      <c r="E36" s="299">
        <v>120</v>
      </c>
      <c r="F36" s="314">
        <f t="shared" si="10"/>
        <v>1440</v>
      </c>
      <c r="G36" s="314">
        <f t="shared" si="11"/>
        <v>1497.6000000000001</v>
      </c>
      <c r="H36" s="314">
        <f t="shared" ref="H36:H42" si="13">+E36*(1+$G$9)*(1+$H$9)*H$8</f>
        <v>1557.5040000000004</v>
      </c>
      <c r="I36" s="314">
        <f t="shared" si="12"/>
        <v>1619.8041600000004</v>
      </c>
      <c r="J36" s="314">
        <f t="shared" si="12"/>
        <v>1684.5963264000004</v>
      </c>
      <c r="K36" s="314">
        <f t="shared" si="12"/>
        <v>1751.9801794560005</v>
      </c>
    </row>
    <row r="37" spans="1:11">
      <c r="A37" s="245" t="s">
        <v>28</v>
      </c>
      <c r="B37" s="423">
        <v>0</v>
      </c>
      <c r="C37" s="424">
        <f t="shared" si="1"/>
        <v>1</v>
      </c>
      <c r="D37" s="345"/>
      <c r="E37" s="299">
        <v>800</v>
      </c>
      <c r="F37" s="314">
        <f t="shared" si="10"/>
        <v>9600</v>
      </c>
      <c r="G37" s="314">
        <f t="shared" si="11"/>
        <v>9984</v>
      </c>
      <c r="H37" s="314">
        <f t="shared" si="13"/>
        <v>10383.36</v>
      </c>
      <c r="I37" s="314">
        <f t="shared" si="12"/>
        <v>10798.6944</v>
      </c>
      <c r="J37" s="314">
        <f t="shared" si="12"/>
        <v>11230.642176000001</v>
      </c>
      <c r="K37" s="314">
        <f t="shared" si="12"/>
        <v>11679.867863040001</v>
      </c>
    </row>
    <row r="38" spans="1:11">
      <c r="A38" s="245" t="s">
        <v>24</v>
      </c>
      <c r="B38" s="423">
        <f>Pressupostos!$B$21</f>
        <v>0.23</v>
      </c>
      <c r="C38" s="424">
        <f t="shared" si="1"/>
        <v>1</v>
      </c>
      <c r="D38" s="345"/>
      <c r="E38" s="299"/>
      <c r="F38" s="314">
        <f t="shared" si="10"/>
        <v>0</v>
      </c>
      <c r="G38" s="314">
        <f t="shared" si="11"/>
        <v>0</v>
      </c>
      <c r="H38" s="314">
        <f t="shared" si="13"/>
        <v>0</v>
      </c>
      <c r="I38" s="314">
        <f t="shared" si="12"/>
        <v>0</v>
      </c>
      <c r="J38" s="314">
        <f t="shared" si="12"/>
        <v>0</v>
      </c>
      <c r="K38" s="314">
        <f t="shared" si="12"/>
        <v>0</v>
      </c>
    </row>
    <row r="39" spans="1:11">
      <c r="A39" s="245" t="s">
        <v>347</v>
      </c>
      <c r="B39" s="423">
        <f>Pressupostos!$B$21</f>
        <v>0.23</v>
      </c>
      <c r="C39" s="424">
        <f t="shared" si="1"/>
        <v>1</v>
      </c>
      <c r="D39" s="345"/>
      <c r="E39" s="299"/>
      <c r="F39" s="314">
        <f t="shared" si="10"/>
        <v>0</v>
      </c>
      <c r="G39" s="314">
        <f t="shared" si="11"/>
        <v>0</v>
      </c>
      <c r="H39" s="314">
        <f t="shared" si="13"/>
        <v>0</v>
      </c>
      <c r="I39" s="314">
        <f t="shared" si="12"/>
        <v>0</v>
      </c>
      <c r="J39" s="314">
        <f t="shared" si="12"/>
        <v>0</v>
      </c>
      <c r="K39" s="314">
        <f t="shared" si="12"/>
        <v>0</v>
      </c>
    </row>
    <row r="40" spans="1:11">
      <c r="A40" s="245" t="s">
        <v>348</v>
      </c>
      <c r="B40" s="423">
        <f>Pressupostos!$B$21</f>
        <v>0.23</v>
      </c>
      <c r="C40" s="424">
        <f t="shared" si="1"/>
        <v>1</v>
      </c>
      <c r="D40" s="345"/>
      <c r="E40" s="299">
        <v>50</v>
      </c>
      <c r="F40" s="314">
        <f t="shared" si="10"/>
        <v>600</v>
      </c>
      <c r="G40" s="314">
        <f t="shared" si="11"/>
        <v>624</v>
      </c>
      <c r="H40" s="314">
        <f t="shared" si="13"/>
        <v>648.96</v>
      </c>
      <c r="I40" s="314">
        <f t="shared" si="12"/>
        <v>674.91840000000002</v>
      </c>
      <c r="J40" s="314">
        <f t="shared" si="12"/>
        <v>701.91513600000008</v>
      </c>
      <c r="K40" s="314">
        <f t="shared" si="12"/>
        <v>729.99174144000006</v>
      </c>
    </row>
    <row r="41" spans="1:11">
      <c r="A41" s="245" t="s">
        <v>349</v>
      </c>
      <c r="B41" s="423">
        <f>Pressupostos!$B$21</f>
        <v>0.23</v>
      </c>
      <c r="C41" s="424">
        <f t="shared" si="1"/>
        <v>1</v>
      </c>
      <c r="D41" s="345"/>
      <c r="E41" s="299">
        <v>80</v>
      </c>
      <c r="F41" s="314">
        <f t="shared" si="10"/>
        <v>960</v>
      </c>
      <c r="G41" s="314">
        <f t="shared" si="11"/>
        <v>998.40000000000009</v>
      </c>
      <c r="H41" s="314">
        <f t="shared" si="13"/>
        <v>1038.336</v>
      </c>
      <c r="I41" s="314">
        <f t="shared" si="12"/>
        <v>1079.8694399999999</v>
      </c>
      <c r="J41" s="314">
        <f t="shared" si="12"/>
        <v>1123.0642175999999</v>
      </c>
      <c r="K41" s="314">
        <f t="shared" si="12"/>
        <v>1167.9867863039999</v>
      </c>
    </row>
    <row r="42" spans="1:11">
      <c r="A42" s="426" t="s">
        <v>350</v>
      </c>
      <c r="B42" s="423">
        <f>Pressupostos!$B$21</f>
        <v>0.23</v>
      </c>
      <c r="C42" s="424">
        <f t="shared" si="1"/>
        <v>1</v>
      </c>
      <c r="D42" s="345"/>
      <c r="E42" s="299"/>
      <c r="F42" s="314">
        <f t="shared" si="10"/>
        <v>0</v>
      </c>
      <c r="G42" s="314">
        <f t="shared" si="11"/>
        <v>0</v>
      </c>
      <c r="H42" s="314">
        <f t="shared" si="13"/>
        <v>0</v>
      </c>
      <c r="I42" s="314">
        <f t="shared" si="12"/>
        <v>0</v>
      </c>
      <c r="J42" s="314">
        <f t="shared" si="12"/>
        <v>0</v>
      </c>
      <c r="K42" s="314">
        <f t="shared" si="12"/>
        <v>0</v>
      </c>
    </row>
    <row r="43" spans="1:11" ht="15" customHeight="1" thickBot="1">
      <c r="A43" s="586" t="s">
        <v>14</v>
      </c>
      <c r="B43" s="587"/>
      <c r="C43" s="587"/>
      <c r="D43" s="587"/>
      <c r="E43" s="588"/>
      <c r="F43" s="301">
        <f t="shared" ref="F43:K43" si="14">SUM(F13:F42)</f>
        <v>122640</v>
      </c>
      <c r="G43" s="301">
        <f t="shared" si="14"/>
        <v>127545.60000000001</v>
      </c>
      <c r="H43" s="301">
        <f t="shared" si="14"/>
        <v>132551.424</v>
      </c>
      <c r="I43" s="301">
        <f t="shared" si="14"/>
        <v>137853.48096000002</v>
      </c>
      <c r="J43" s="301">
        <f t="shared" si="14"/>
        <v>143367.62019840002</v>
      </c>
      <c r="K43" s="301">
        <f t="shared" si="14"/>
        <v>149102.32500633603</v>
      </c>
    </row>
    <row r="44" spans="1:11" ht="10.8" thickTop="1">
      <c r="A44" s="48"/>
      <c r="B44" s="48"/>
      <c r="C44" s="48"/>
      <c r="D44" s="48"/>
      <c r="E44" s="48"/>
      <c r="F44" s="302"/>
      <c r="G44" s="302"/>
      <c r="H44" s="302"/>
      <c r="I44" s="302"/>
      <c r="J44" s="302"/>
      <c r="K44" s="302"/>
    </row>
    <row r="45" spans="1:11" ht="14.25" customHeight="1" thickBot="1">
      <c r="A45" s="583" t="s">
        <v>202</v>
      </c>
      <c r="B45" s="584"/>
      <c r="C45" s="584"/>
      <c r="D45" s="584"/>
      <c r="E45" s="298"/>
      <c r="F45" s="303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122640</v>
      </c>
      <c r="G45" s="303">
        <f t="shared" si="15"/>
        <v>127545.60000000001</v>
      </c>
      <c r="H45" s="303">
        <f t="shared" si="15"/>
        <v>132551.424</v>
      </c>
      <c r="I45" s="303">
        <f t="shared" si="15"/>
        <v>137853.48096000002</v>
      </c>
      <c r="J45" s="303">
        <f t="shared" si="15"/>
        <v>143367.62019840002</v>
      </c>
      <c r="K45" s="303">
        <f t="shared" si="15"/>
        <v>149102.32500633603</v>
      </c>
    </row>
    <row r="46" spans="1:11" ht="10.8" thickTop="1">
      <c r="A46" s="48"/>
      <c r="B46" s="48"/>
      <c r="C46" s="48"/>
      <c r="D46" s="48"/>
      <c r="E46" s="48"/>
      <c r="F46" s="302"/>
      <c r="G46" s="302"/>
      <c r="H46" s="302"/>
      <c r="I46" s="302"/>
      <c r="J46" s="302"/>
      <c r="K46" s="302"/>
    </row>
    <row r="47" spans="1:11" ht="10.8" thickBot="1">
      <c r="A47" s="583" t="s">
        <v>203</v>
      </c>
      <c r="B47" s="584"/>
      <c r="C47" s="584"/>
      <c r="D47" s="584"/>
      <c r="E47" s="298"/>
      <c r="F47" s="303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03">
        <f t="shared" si="16"/>
        <v>0</v>
      </c>
      <c r="H47" s="303">
        <f t="shared" si="16"/>
        <v>0</v>
      </c>
      <c r="I47" s="303">
        <f t="shared" si="16"/>
        <v>0</v>
      </c>
      <c r="J47" s="303">
        <f t="shared" si="16"/>
        <v>0</v>
      </c>
      <c r="K47" s="303">
        <f t="shared" si="16"/>
        <v>0</v>
      </c>
    </row>
    <row r="48" spans="1:11" ht="10.8" thickTop="1">
      <c r="A48" s="48"/>
      <c r="B48" s="48"/>
      <c r="C48" s="48"/>
      <c r="D48" s="48"/>
      <c r="E48" s="48"/>
      <c r="F48" s="302"/>
      <c r="G48" s="302"/>
      <c r="H48" s="302"/>
      <c r="I48" s="302"/>
      <c r="J48" s="302"/>
      <c r="K48" s="302"/>
    </row>
    <row r="49" spans="1:11" ht="10.8" thickBot="1">
      <c r="A49" s="583" t="s">
        <v>204</v>
      </c>
      <c r="B49" s="584"/>
      <c r="C49" s="584"/>
      <c r="D49" s="584"/>
      <c r="E49" s="298"/>
      <c r="F49" s="303">
        <f t="shared" ref="F49:K49" si="17">F45+F47</f>
        <v>122640</v>
      </c>
      <c r="G49" s="303">
        <f t="shared" si="17"/>
        <v>127545.60000000001</v>
      </c>
      <c r="H49" s="303">
        <f t="shared" si="17"/>
        <v>132551.424</v>
      </c>
      <c r="I49" s="303">
        <f t="shared" si="17"/>
        <v>137853.48096000002</v>
      </c>
      <c r="J49" s="303">
        <f t="shared" si="17"/>
        <v>143367.62019840002</v>
      </c>
      <c r="K49" s="303">
        <f t="shared" si="17"/>
        <v>149102.32500633603</v>
      </c>
    </row>
    <row r="50" spans="1:11" ht="10.8" thickTop="1">
      <c r="A50" s="48"/>
      <c r="B50" s="48"/>
      <c r="C50" s="48"/>
      <c r="D50" s="48"/>
      <c r="E50" s="48"/>
      <c r="F50" s="302"/>
      <c r="G50" s="302"/>
      <c r="H50" s="302"/>
      <c r="I50" s="302"/>
      <c r="J50" s="302"/>
      <c r="K50" s="302"/>
    </row>
    <row r="51" spans="1:11" ht="10.8" thickBot="1">
      <c r="A51" s="589" t="s">
        <v>43</v>
      </c>
      <c r="B51" s="589"/>
      <c r="C51" s="589"/>
      <c r="D51" s="589"/>
      <c r="E51" s="589"/>
      <c r="F51" s="304">
        <f t="shared" ref="F51:K51" si="18">(F13*$B$13)+(F15*$B$15)+(F16*$B$16)+(F17*$B$17)+(F18*$B$18)+(F19*$B$19)+(F20*$B$20)+(F22*$B$22)+(F23*$B$23)+(F24*$B$24)+(F25*$B$25)+(F27*$B$27)+(F29*$B$29)+(F36*$B$36)+(F41*$B$41)</f>
        <v>9362.4</v>
      </c>
      <c r="G51" s="304">
        <f t="shared" si="18"/>
        <v>9736.8960000000006</v>
      </c>
      <c r="H51" s="304">
        <f t="shared" si="18"/>
        <v>10126.371840000002</v>
      </c>
      <c r="I51" s="304">
        <f t="shared" si="18"/>
        <v>10531.426713600002</v>
      </c>
      <c r="J51" s="304">
        <f t="shared" si="18"/>
        <v>10952.683782144002</v>
      </c>
      <c r="K51" s="304">
        <f t="shared" si="18"/>
        <v>11390.791133429762</v>
      </c>
    </row>
    <row r="52" spans="1:11" ht="10.8" thickTop="1">
      <c r="A52" s="48"/>
      <c r="B52" s="48"/>
      <c r="C52" s="48"/>
      <c r="D52" s="48"/>
      <c r="E52" s="48"/>
      <c r="F52" s="302"/>
      <c r="G52" s="302"/>
      <c r="H52" s="302"/>
      <c r="I52" s="302"/>
      <c r="J52" s="302"/>
      <c r="K52" s="302"/>
    </row>
    <row r="53" spans="1:11" ht="10.8" thickBot="1">
      <c r="A53" s="585" t="s">
        <v>42</v>
      </c>
      <c r="B53" s="585"/>
      <c r="C53" s="585"/>
      <c r="D53" s="585"/>
      <c r="E53" s="585"/>
      <c r="F53" s="305">
        <f t="shared" ref="F53:K53" si="19">F43+F51</f>
        <v>132002.4</v>
      </c>
      <c r="G53" s="305">
        <f t="shared" si="19"/>
        <v>137282.49600000001</v>
      </c>
      <c r="H53" s="305">
        <f t="shared" si="19"/>
        <v>142677.79584000001</v>
      </c>
      <c r="I53" s="305">
        <f t="shared" si="19"/>
        <v>148384.90767360001</v>
      </c>
      <c r="J53" s="305">
        <f t="shared" si="19"/>
        <v>154320.30398054403</v>
      </c>
      <c r="K53" s="305">
        <f t="shared" si="19"/>
        <v>160493.1161397658</v>
      </c>
    </row>
    <row r="54" spans="1:11" ht="10.8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CB78-3AE5-40C1-B9E7-1C7E418F0C88}">
  <sheetPr codeName="Sheet5"/>
  <dimension ref="A1:I105"/>
  <sheetViews>
    <sheetView showGridLines="0" showZeros="0" zoomScaleNormal="100" workbookViewId="0">
      <selection activeCell="I49" sqref="I49"/>
    </sheetView>
  </sheetViews>
  <sheetFormatPr defaultColWidth="8.6640625" defaultRowHeight="10.199999999999999"/>
  <cols>
    <col min="1" max="1" width="25.33203125" style="56" customWidth="1"/>
    <col min="2" max="2" width="5.33203125" style="56" customWidth="1"/>
    <col min="3" max="3" width="12.5546875" style="56" customWidth="1"/>
    <col min="4" max="13" width="11.44140625" style="56" customWidth="1"/>
    <col min="14" max="37" width="11.6640625" style="56" customWidth="1"/>
    <col min="38" max="16384" width="8.6640625" style="56"/>
  </cols>
  <sheetData>
    <row r="1" spans="1:9" ht="13.8">
      <c r="A1" s="48"/>
      <c r="B1" s="48"/>
      <c r="C1" s="40"/>
      <c r="D1" s="40"/>
      <c r="E1" s="40"/>
      <c r="F1" s="40"/>
      <c r="G1" s="40"/>
      <c r="H1" s="420" t="str">
        <f>+VN!G1</f>
        <v>Empresa:</v>
      </c>
      <c r="I1" s="407" t="str">
        <f>+Pressupostos!E1</f>
        <v>Flexible Energies</v>
      </c>
    </row>
    <row r="2" spans="1:9">
      <c r="A2" s="79"/>
      <c r="B2" s="79"/>
      <c r="C2" s="40"/>
      <c r="D2" s="40"/>
      <c r="E2" s="40"/>
      <c r="F2" s="40"/>
      <c r="G2" s="40"/>
      <c r="H2" s="40"/>
      <c r="I2" s="43" t="str">
        <f>+Pressupostos!B9</f>
        <v>Euros</v>
      </c>
    </row>
    <row r="3" spans="1:9">
      <c r="A3" s="79"/>
      <c r="B3" s="79"/>
      <c r="C3" s="40"/>
      <c r="D3" s="40"/>
      <c r="E3" s="40"/>
      <c r="F3" s="40"/>
      <c r="G3" s="40"/>
      <c r="H3" s="40"/>
      <c r="I3" s="43"/>
    </row>
    <row r="4" spans="1:9" ht="15.6">
      <c r="A4" s="576" t="s">
        <v>142</v>
      </c>
      <c r="B4" s="590"/>
      <c r="C4" s="590"/>
      <c r="D4" s="590"/>
      <c r="E4" s="590"/>
      <c r="F4" s="590"/>
      <c r="G4" s="590"/>
      <c r="H4" s="590"/>
      <c r="I4" s="590"/>
    </row>
    <row r="5" spans="1:9">
      <c r="A5" s="44"/>
      <c r="B5" s="44"/>
      <c r="C5" s="44"/>
      <c r="D5" s="44"/>
      <c r="E5" s="44"/>
      <c r="F5" s="44"/>
      <c r="G5" s="44"/>
      <c r="H5" s="44"/>
      <c r="I5" s="44"/>
    </row>
    <row r="6" spans="1:9">
      <c r="A6" s="46"/>
      <c r="B6" s="72"/>
      <c r="C6" s="72"/>
      <c r="D6" s="45">
        <f>+VN!C8</f>
        <v>2025</v>
      </c>
      <c r="E6" s="45">
        <f>+VN!D8</f>
        <v>2026</v>
      </c>
      <c r="F6" s="45">
        <f>+VN!E8</f>
        <v>2027</v>
      </c>
      <c r="G6" s="45">
        <f>+VN!F8</f>
        <v>2028</v>
      </c>
      <c r="H6" s="45">
        <f>+VN!G8</f>
        <v>2029</v>
      </c>
      <c r="I6" s="45">
        <f>+VN!H8</f>
        <v>2030</v>
      </c>
    </row>
    <row r="7" spans="1:9">
      <c r="A7" s="73" t="s">
        <v>478</v>
      </c>
      <c r="B7" s="74"/>
      <c r="C7" s="75"/>
      <c r="D7" s="422">
        <v>14</v>
      </c>
      <c r="E7" s="422">
        <v>14</v>
      </c>
      <c r="F7" s="422">
        <v>14</v>
      </c>
      <c r="G7" s="422">
        <v>14</v>
      </c>
      <c r="H7" s="422">
        <f>+G7</f>
        <v>14</v>
      </c>
      <c r="I7" s="422">
        <f>+H7</f>
        <v>14</v>
      </c>
    </row>
    <row r="8" spans="1:9">
      <c r="A8" s="73" t="s">
        <v>493</v>
      </c>
      <c r="B8" s="74"/>
      <c r="C8" s="75"/>
      <c r="D8" s="515">
        <v>0</v>
      </c>
      <c r="E8" s="23">
        <v>0.04</v>
      </c>
      <c r="F8" s="23">
        <v>0.04</v>
      </c>
      <c r="G8" s="23">
        <v>0.04</v>
      </c>
      <c r="H8" s="23">
        <v>0.04</v>
      </c>
      <c r="I8" s="23">
        <v>0.04</v>
      </c>
    </row>
    <row r="9" spans="1:9">
      <c r="A9" s="428" t="s">
        <v>492</v>
      </c>
      <c r="B9" s="429"/>
      <c r="C9" s="430"/>
      <c r="D9" s="31">
        <v>12</v>
      </c>
      <c r="E9" s="31">
        <v>12</v>
      </c>
      <c r="F9" s="31">
        <v>12</v>
      </c>
      <c r="G9" s="31">
        <v>12</v>
      </c>
      <c r="H9" s="31">
        <v>12</v>
      </c>
      <c r="I9" s="31">
        <v>12</v>
      </c>
    </row>
    <row r="10" spans="1:9">
      <c r="A10" s="80"/>
      <c r="B10" s="80"/>
      <c r="C10" s="81"/>
      <c r="D10" s="48"/>
      <c r="E10" s="48"/>
      <c r="F10" s="48"/>
      <c r="G10" s="48"/>
      <c r="H10" s="48"/>
      <c r="I10" s="48"/>
    </row>
    <row r="11" spans="1:9" ht="13.2">
      <c r="A11" s="594" t="s">
        <v>351</v>
      </c>
      <c r="B11" s="595"/>
      <c r="C11" s="596"/>
      <c r="D11" s="45">
        <f t="shared" ref="D11:I11" si="0">+D6</f>
        <v>2025</v>
      </c>
      <c r="E11" s="45">
        <f t="shared" si="0"/>
        <v>2026</v>
      </c>
      <c r="F11" s="45">
        <f t="shared" si="0"/>
        <v>2027</v>
      </c>
      <c r="G11" s="45">
        <f t="shared" si="0"/>
        <v>2028</v>
      </c>
      <c r="H11" s="45">
        <f t="shared" si="0"/>
        <v>2029</v>
      </c>
      <c r="I11" s="45">
        <f t="shared" si="0"/>
        <v>2030</v>
      </c>
    </row>
    <row r="12" spans="1:9">
      <c r="A12" s="508" t="s">
        <v>270</v>
      </c>
      <c r="B12" s="509"/>
      <c r="C12" s="510"/>
      <c r="D12" s="31">
        <v>1</v>
      </c>
      <c r="E12" s="31">
        <v>1</v>
      </c>
      <c r="F12" s="31">
        <v>1</v>
      </c>
      <c r="G12" s="31">
        <v>1</v>
      </c>
      <c r="H12" s="31">
        <v>1</v>
      </c>
      <c r="I12" s="31">
        <v>1</v>
      </c>
    </row>
    <row r="13" spans="1:9">
      <c r="A13" s="34" t="s">
        <v>352</v>
      </c>
      <c r="B13" s="511"/>
      <c r="C13" s="512"/>
      <c r="D13" s="31">
        <v>1</v>
      </c>
      <c r="E13" s="31">
        <v>2</v>
      </c>
      <c r="F13" s="31">
        <v>2</v>
      </c>
      <c r="G13" s="31">
        <v>2</v>
      </c>
      <c r="H13" s="31">
        <v>2</v>
      </c>
      <c r="I13" s="31">
        <v>2</v>
      </c>
    </row>
    <row r="14" spans="1:9">
      <c r="A14" s="34" t="s">
        <v>353</v>
      </c>
      <c r="B14" s="511"/>
      <c r="C14" s="512"/>
      <c r="D14" s="31">
        <v>1</v>
      </c>
      <c r="E14" s="31">
        <v>2</v>
      </c>
      <c r="F14" s="31">
        <v>2</v>
      </c>
      <c r="G14" s="31">
        <v>2</v>
      </c>
      <c r="H14" s="31">
        <v>2</v>
      </c>
      <c r="I14" s="31">
        <v>2</v>
      </c>
    </row>
    <row r="15" spans="1:9">
      <c r="A15" s="34" t="s">
        <v>354</v>
      </c>
      <c r="B15" s="511"/>
      <c r="C15" s="512"/>
      <c r="D15" s="31">
        <v>1</v>
      </c>
      <c r="E15" s="31">
        <v>3</v>
      </c>
      <c r="F15" s="31">
        <v>3</v>
      </c>
      <c r="G15" s="31">
        <v>4</v>
      </c>
      <c r="H15" s="31">
        <v>4</v>
      </c>
      <c r="I15" s="31">
        <v>5</v>
      </c>
    </row>
    <row r="16" spans="1:9">
      <c r="A16" s="34" t="s">
        <v>126</v>
      </c>
      <c r="B16" s="511"/>
      <c r="C16" s="512"/>
      <c r="D16" s="31"/>
      <c r="E16" s="31"/>
      <c r="F16" s="31"/>
      <c r="G16" s="31"/>
      <c r="H16" s="31"/>
      <c r="I16" s="31"/>
    </row>
    <row r="17" spans="1:9">
      <c r="A17" s="34" t="s">
        <v>127</v>
      </c>
      <c r="B17" s="511"/>
      <c r="C17" s="512"/>
      <c r="D17" s="31"/>
      <c r="E17" s="31"/>
      <c r="F17" s="31"/>
      <c r="G17" s="31"/>
      <c r="H17" s="31"/>
      <c r="I17" s="31"/>
    </row>
    <row r="18" spans="1:9">
      <c r="A18" s="34" t="s">
        <v>128</v>
      </c>
      <c r="B18" s="511"/>
      <c r="C18" s="512"/>
      <c r="D18" s="31"/>
      <c r="E18" s="31"/>
      <c r="F18" s="31"/>
      <c r="G18" s="31"/>
      <c r="H18" s="31"/>
      <c r="I18" s="31"/>
    </row>
    <row r="19" spans="1:9">
      <c r="A19" s="34" t="s">
        <v>355</v>
      </c>
      <c r="B19" s="511"/>
      <c r="C19" s="512"/>
      <c r="D19" s="31">
        <v>1</v>
      </c>
      <c r="E19" s="31">
        <v>3</v>
      </c>
      <c r="F19" s="31">
        <v>3</v>
      </c>
      <c r="G19" s="31">
        <v>3</v>
      </c>
      <c r="H19" s="31">
        <v>3</v>
      </c>
      <c r="I19" s="31">
        <v>3</v>
      </c>
    </row>
    <row r="20" spans="1:9">
      <c r="A20" s="34" t="s">
        <v>129</v>
      </c>
      <c r="B20" s="511"/>
      <c r="C20" s="512"/>
      <c r="D20" s="31"/>
      <c r="E20" s="31"/>
      <c r="F20" s="31"/>
      <c r="G20" s="31"/>
      <c r="H20" s="31"/>
      <c r="I20" s="31"/>
    </row>
    <row r="21" spans="1:9">
      <c r="A21" s="35"/>
      <c r="B21" s="513"/>
      <c r="C21" s="514"/>
      <c r="D21" s="29"/>
      <c r="E21" s="29"/>
      <c r="F21" s="29"/>
      <c r="G21" s="29"/>
      <c r="H21" s="29"/>
      <c r="I21" s="29"/>
    </row>
    <row r="22" spans="1:9">
      <c r="A22" s="35"/>
      <c r="B22" s="513"/>
      <c r="C22" s="514"/>
      <c r="D22" s="29"/>
      <c r="E22" s="29"/>
      <c r="F22" s="29"/>
      <c r="G22" s="29"/>
      <c r="H22" s="29"/>
      <c r="I22" s="29"/>
    </row>
    <row r="23" spans="1:9" ht="10.8" thickBot="1">
      <c r="A23" s="586" t="s">
        <v>31</v>
      </c>
      <c r="B23" s="587"/>
      <c r="C23" s="588"/>
      <c r="D23" s="83">
        <f t="shared" ref="D23:I23" si="1">+SUM(D12:D22)</f>
        <v>5</v>
      </c>
      <c r="E23" s="83">
        <f t="shared" si="1"/>
        <v>11</v>
      </c>
      <c r="F23" s="83">
        <f t="shared" si="1"/>
        <v>11</v>
      </c>
      <c r="G23" s="83">
        <f t="shared" si="1"/>
        <v>12</v>
      </c>
      <c r="H23" s="83">
        <f t="shared" si="1"/>
        <v>12</v>
      </c>
      <c r="I23" s="83">
        <f t="shared" si="1"/>
        <v>13</v>
      </c>
    </row>
    <row r="24" spans="1:9" ht="10.8" thickTop="1">
      <c r="A24" s="80"/>
      <c r="B24" s="80"/>
      <c r="C24" s="81"/>
      <c r="D24" s="48"/>
      <c r="E24" s="48"/>
      <c r="F24" s="48"/>
      <c r="G24" s="48"/>
      <c r="H24" s="48"/>
      <c r="I24" s="48"/>
    </row>
    <row r="25" spans="1:9">
      <c r="A25" s="80"/>
      <c r="B25" s="80"/>
      <c r="C25" s="81"/>
      <c r="D25" s="48"/>
      <c r="E25" s="48"/>
      <c r="F25" s="48"/>
      <c r="G25" s="48"/>
      <c r="H25" s="48"/>
      <c r="I25" s="48"/>
    </row>
    <row r="26" spans="1:9" ht="13.2">
      <c r="A26" s="594" t="s">
        <v>494</v>
      </c>
      <c r="B26" s="595"/>
      <c r="C26" s="596"/>
      <c r="D26" s="45">
        <f t="shared" ref="D26:I26" si="2">+D21</f>
        <v>0</v>
      </c>
      <c r="E26" s="45">
        <f t="shared" si="2"/>
        <v>0</v>
      </c>
      <c r="F26" s="45">
        <f t="shared" si="2"/>
        <v>0</v>
      </c>
      <c r="G26" s="45">
        <f t="shared" si="2"/>
        <v>0</v>
      </c>
      <c r="H26" s="45">
        <f t="shared" si="2"/>
        <v>0</v>
      </c>
      <c r="I26" s="45">
        <f t="shared" si="2"/>
        <v>0</v>
      </c>
    </row>
    <row r="27" spans="1:9">
      <c r="A27" s="525" t="str">
        <f>+A12</f>
        <v>Administração / Direção</v>
      </c>
      <c r="B27" s="526"/>
      <c r="C27" s="527"/>
      <c r="D27" s="317">
        <v>12</v>
      </c>
      <c r="E27" s="317">
        <v>12</v>
      </c>
      <c r="F27" s="317">
        <v>12</v>
      </c>
      <c r="G27" s="317">
        <v>12</v>
      </c>
      <c r="H27" s="317">
        <v>12</v>
      </c>
      <c r="I27" s="317">
        <v>12</v>
      </c>
    </row>
    <row r="28" spans="1:9">
      <c r="A28" s="431" t="str">
        <f t="shared" ref="A28:A37" si="3">+A13</f>
        <v>Administrativa / Financeira</v>
      </c>
      <c r="B28" s="432"/>
      <c r="C28" s="433"/>
      <c r="D28" s="317">
        <v>12</v>
      </c>
      <c r="E28" s="317">
        <v>12</v>
      </c>
      <c r="F28" s="317">
        <v>12</v>
      </c>
      <c r="G28" s="317">
        <v>12</v>
      </c>
      <c r="H28" s="317">
        <v>12</v>
      </c>
      <c r="I28" s="317">
        <v>12</v>
      </c>
    </row>
    <row r="29" spans="1:9">
      <c r="A29" s="431" t="str">
        <f t="shared" si="3"/>
        <v>Comercial / Marketing</v>
      </c>
      <c r="B29" s="432"/>
      <c r="C29" s="433"/>
      <c r="D29" s="317">
        <v>12</v>
      </c>
      <c r="E29" s="317">
        <v>12</v>
      </c>
      <c r="F29" s="317">
        <v>12</v>
      </c>
      <c r="G29" s="317">
        <v>12</v>
      </c>
      <c r="H29" s="317">
        <v>12</v>
      </c>
      <c r="I29" s="317">
        <v>12</v>
      </c>
    </row>
    <row r="30" spans="1:9">
      <c r="A30" s="431" t="str">
        <f t="shared" si="3"/>
        <v>Produção / Operacional</v>
      </c>
      <c r="B30" s="432"/>
      <c r="C30" s="433"/>
      <c r="D30" s="317">
        <v>12</v>
      </c>
      <c r="E30" s="317">
        <v>12</v>
      </c>
      <c r="F30" s="317">
        <v>12</v>
      </c>
      <c r="G30" s="317">
        <v>12</v>
      </c>
      <c r="H30" s="317">
        <v>12</v>
      </c>
      <c r="I30" s="317">
        <v>12</v>
      </c>
    </row>
    <row r="31" spans="1:9">
      <c r="A31" s="431" t="str">
        <f t="shared" si="3"/>
        <v>Qualidade</v>
      </c>
      <c r="B31" s="432"/>
      <c r="C31" s="433"/>
      <c r="D31" s="317"/>
      <c r="E31" s="317"/>
      <c r="F31" s="317"/>
      <c r="G31" s="317"/>
      <c r="H31" s="317"/>
      <c r="I31" s="317"/>
    </row>
    <row r="32" spans="1:9">
      <c r="A32" s="431" t="str">
        <f t="shared" si="3"/>
        <v>Manutenção</v>
      </c>
      <c r="B32" s="432"/>
      <c r="C32" s="433"/>
      <c r="D32" s="317"/>
      <c r="E32" s="317"/>
      <c r="F32" s="317"/>
      <c r="G32" s="317"/>
      <c r="H32" s="317"/>
      <c r="I32" s="317"/>
    </row>
    <row r="33" spans="1:9">
      <c r="A33" s="431" t="str">
        <f t="shared" si="3"/>
        <v>Aprovisionamento</v>
      </c>
      <c r="B33" s="432"/>
      <c r="C33" s="433"/>
      <c r="D33" s="317"/>
      <c r="E33" s="317"/>
      <c r="F33" s="317"/>
      <c r="G33" s="317"/>
      <c r="H33" s="317"/>
      <c r="I33" s="317"/>
    </row>
    <row r="34" spans="1:9">
      <c r="A34" s="431" t="str">
        <f t="shared" si="3"/>
        <v>Investigação e Desenvolvimento</v>
      </c>
      <c r="B34" s="432"/>
      <c r="C34" s="433"/>
      <c r="D34" s="317">
        <v>12</v>
      </c>
      <c r="E34" s="317">
        <v>12</v>
      </c>
      <c r="F34" s="317">
        <v>12</v>
      </c>
      <c r="G34" s="317">
        <v>12</v>
      </c>
      <c r="H34" s="317">
        <v>12</v>
      </c>
      <c r="I34" s="317">
        <v>12</v>
      </c>
    </row>
    <row r="35" spans="1:9">
      <c r="A35" s="431" t="str">
        <f t="shared" si="3"/>
        <v>Outros</v>
      </c>
      <c r="B35" s="432"/>
      <c r="C35" s="433"/>
      <c r="D35" s="317"/>
      <c r="E35" s="317"/>
      <c r="F35" s="317"/>
      <c r="G35" s="317"/>
      <c r="H35" s="317"/>
      <c r="I35" s="317"/>
    </row>
    <row r="36" spans="1:9">
      <c r="A36" s="431">
        <f t="shared" si="3"/>
        <v>0</v>
      </c>
      <c r="B36" s="434"/>
      <c r="C36" s="435"/>
      <c r="D36" s="29"/>
      <c r="E36" s="29"/>
      <c r="F36" s="29"/>
      <c r="G36" s="29"/>
      <c r="H36" s="29"/>
      <c r="I36" s="29"/>
    </row>
    <row r="37" spans="1:9">
      <c r="A37" s="431">
        <f t="shared" si="3"/>
        <v>0</v>
      </c>
      <c r="B37" s="434"/>
      <c r="C37" s="435"/>
      <c r="D37" s="317"/>
      <c r="E37" s="317"/>
      <c r="F37" s="317"/>
      <c r="G37" s="317"/>
      <c r="H37" s="317"/>
      <c r="I37" s="317"/>
    </row>
    <row r="38" spans="1:9">
      <c r="A38" s="80"/>
      <c r="B38" s="80"/>
      <c r="C38" s="81"/>
      <c r="D38" s="48"/>
      <c r="E38" s="48"/>
      <c r="F38" s="48"/>
      <c r="G38" s="48"/>
      <c r="H38" s="48"/>
      <c r="I38" s="48"/>
    </row>
    <row r="39" spans="1:9">
      <c r="A39" s="80"/>
      <c r="B39" s="80"/>
      <c r="C39" s="81"/>
      <c r="D39" s="48"/>
      <c r="E39" s="48"/>
      <c r="F39" s="48"/>
      <c r="G39" s="48"/>
      <c r="H39" s="48"/>
      <c r="I39" s="48"/>
    </row>
    <row r="40" spans="1:9" ht="13.2">
      <c r="A40" s="594" t="s">
        <v>356</v>
      </c>
      <c r="B40" s="595"/>
      <c r="C40" s="596"/>
      <c r="D40" s="45">
        <f t="shared" ref="D40:I40" si="4">+D11</f>
        <v>2025</v>
      </c>
      <c r="E40" s="45">
        <f t="shared" si="4"/>
        <v>2026</v>
      </c>
      <c r="F40" s="45">
        <f t="shared" si="4"/>
        <v>2027</v>
      </c>
      <c r="G40" s="45">
        <f t="shared" si="4"/>
        <v>2028</v>
      </c>
      <c r="H40" s="45">
        <f t="shared" si="4"/>
        <v>2029</v>
      </c>
      <c r="I40" s="45">
        <f t="shared" si="4"/>
        <v>2030</v>
      </c>
    </row>
    <row r="41" spans="1:9">
      <c r="A41" s="525" t="str">
        <f>+A12</f>
        <v>Administração / Direção</v>
      </c>
      <c r="B41" s="526"/>
      <c r="C41" s="527"/>
      <c r="D41" s="32">
        <v>2000</v>
      </c>
      <c r="E41" s="32">
        <v>2000</v>
      </c>
      <c r="F41" s="32">
        <v>2000</v>
      </c>
      <c r="G41" s="32">
        <v>2000</v>
      </c>
      <c r="H41" s="32">
        <v>2000</v>
      </c>
      <c r="I41" s="32">
        <v>2000</v>
      </c>
    </row>
    <row r="42" spans="1:9">
      <c r="A42" s="82" t="str">
        <f t="shared" ref="A42:A51" si="5">+A13</f>
        <v>Administrativa / Financeira</v>
      </c>
      <c r="B42" s="74"/>
      <c r="C42" s="75"/>
      <c r="D42" s="32">
        <v>1400</v>
      </c>
      <c r="E42" s="32">
        <v>1400</v>
      </c>
      <c r="F42" s="32">
        <v>1400</v>
      </c>
      <c r="G42" s="32">
        <v>1400</v>
      </c>
      <c r="H42" s="32">
        <v>1400</v>
      </c>
      <c r="I42" s="32">
        <v>1400</v>
      </c>
    </row>
    <row r="43" spans="1:9">
      <c r="A43" s="82" t="str">
        <f t="shared" si="5"/>
        <v>Comercial / Marketing</v>
      </c>
      <c r="B43" s="74"/>
      <c r="C43" s="75"/>
      <c r="D43" s="32">
        <v>1100</v>
      </c>
      <c r="E43" s="32">
        <v>1100</v>
      </c>
      <c r="F43" s="32">
        <v>1100</v>
      </c>
      <c r="G43" s="32">
        <v>1100</v>
      </c>
      <c r="H43" s="32">
        <v>1100</v>
      </c>
      <c r="I43" s="32">
        <v>1100</v>
      </c>
    </row>
    <row r="44" spans="1:9">
      <c r="A44" s="82" t="str">
        <f t="shared" si="5"/>
        <v>Produção / Operacional</v>
      </c>
      <c r="B44" s="74"/>
      <c r="C44" s="75"/>
      <c r="D44" s="32">
        <v>1200</v>
      </c>
      <c r="E44" s="32">
        <v>1200</v>
      </c>
      <c r="F44" s="32">
        <v>1200</v>
      </c>
      <c r="G44" s="32">
        <v>1200</v>
      </c>
      <c r="H44" s="32">
        <v>1200</v>
      </c>
      <c r="I44" s="32">
        <v>1200</v>
      </c>
    </row>
    <row r="45" spans="1:9">
      <c r="A45" s="82" t="str">
        <f t="shared" si="5"/>
        <v>Qualidade</v>
      </c>
      <c r="B45" s="74"/>
      <c r="C45" s="75"/>
      <c r="D45" s="32"/>
      <c r="E45" s="32"/>
      <c r="F45" s="32"/>
      <c r="G45" s="32"/>
      <c r="H45" s="32"/>
      <c r="I45" s="32"/>
    </row>
    <row r="46" spans="1:9">
      <c r="A46" s="82" t="str">
        <f t="shared" si="5"/>
        <v>Manutenção</v>
      </c>
      <c r="B46" s="74"/>
      <c r="C46" s="75"/>
      <c r="D46" s="32"/>
      <c r="E46" s="32"/>
      <c r="F46" s="32"/>
      <c r="G46" s="32"/>
      <c r="H46" s="32"/>
      <c r="I46" s="32"/>
    </row>
    <row r="47" spans="1:9">
      <c r="A47" s="82" t="str">
        <f t="shared" si="5"/>
        <v>Aprovisionamento</v>
      </c>
      <c r="B47" s="74"/>
      <c r="C47" s="75"/>
      <c r="D47" s="32"/>
      <c r="E47" s="32"/>
      <c r="F47" s="32"/>
      <c r="G47" s="32"/>
      <c r="H47" s="32"/>
      <c r="I47" s="32"/>
    </row>
    <row r="48" spans="1:9">
      <c r="A48" s="82" t="str">
        <f t="shared" si="5"/>
        <v>Investigação e Desenvolvimento</v>
      </c>
      <c r="B48" s="74"/>
      <c r="C48" s="75"/>
      <c r="D48" s="32">
        <v>1600</v>
      </c>
      <c r="E48" s="32">
        <v>1600</v>
      </c>
      <c r="F48" s="32">
        <v>1600</v>
      </c>
      <c r="G48" s="32">
        <v>1600</v>
      </c>
      <c r="H48" s="32">
        <v>1600</v>
      </c>
      <c r="I48" s="32">
        <v>1600</v>
      </c>
    </row>
    <row r="49" spans="1:9">
      <c r="A49" s="82" t="str">
        <f t="shared" si="5"/>
        <v>Outros</v>
      </c>
      <c r="B49" s="74"/>
      <c r="C49" s="75"/>
      <c r="D49" s="32"/>
      <c r="E49" s="32"/>
      <c r="F49" s="32"/>
      <c r="G49" s="32"/>
      <c r="H49" s="32"/>
      <c r="I49" s="32"/>
    </row>
    <row r="50" spans="1:9">
      <c r="A50" s="82">
        <f t="shared" si="5"/>
        <v>0</v>
      </c>
      <c r="B50" s="85"/>
      <c r="C50" s="86"/>
      <c r="D50" s="33"/>
      <c r="E50" s="32"/>
      <c r="F50" s="32"/>
      <c r="G50" s="32"/>
      <c r="H50" s="32"/>
      <c r="I50" s="32"/>
    </row>
    <row r="51" spans="1:9">
      <c r="A51" s="82">
        <f t="shared" si="5"/>
        <v>0</v>
      </c>
      <c r="B51" s="85"/>
      <c r="C51" s="86"/>
      <c r="D51" s="32"/>
      <c r="E51" s="32"/>
      <c r="F51" s="32"/>
      <c r="G51" s="32"/>
      <c r="H51" s="32"/>
      <c r="I51" s="32"/>
    </row>
    <row r="52" spans="1:9">
      <c r="A52" s="87"/>
      <c r="B52" s="88"/>
      <c r="C52" s="89"/>
      <c r="D52" s="90"/>
      <c r="E52" s="90"/>
      <c r="F52" s="90"/>
      <c r="G52" s="90"/>
      <c r="H52" s="90"/>
      <c r="I52" s="90"/>
    </row>
    <row r="53" spans="1:9">
      <c r="A53" s="87"/>
      <c r="B53" s="88"/>
      <c r="C53" s="89"/>
      <c r="D53" s="90"/>
      <c r="E53" s="90"/>
      <c r="F53" s="90"/>
      <c r="G53" s="90"/>
      <c r="H53" s="90"/>
      <c r="I53" s="90"/>
    </row>
    <row r="54" spans="1:9" ht="13.2">
      <c r="A54" s="594" t="s">
        <v>357</v>
      </c>
      <c r="B54" s="595"/>
      <c r="C54" s="596"/>
      <c r="D54" s="45">
        <f t="shared" ref="D54:I54" si="6">+D40</f>
        <v>2025</v>
      </c>
      <c r="E54" s="45">
        <f t="shared" si="6"/>
        <v>2026</v>
      </c>
      <c r="F54" s="45">
        <f t="shared" si="6"/>
        <v>2027</v>
      </c>
      <c r="G54" s="45">
        <f t="shared" si="6"/>
        <v>2028</v>
      </c>
      <c r="H54" s="45">
        <f t="shared" si="6"/>
        <v>2029</v>
      </c>
      <c r="I54" s="45">
        <f t="shared" si="6"/>
        <v>2030</v>
      </c>
    </row>
    <row r="55" spans="1:9">
      <c r="A55" s="82" t="str">
        <f>+A41</f>
        <v>Administração / Direção</v>
      </c>
      <c r="B55" s="74"/>
      <c r="C55" s="75"/>
      <c r="D55" s="91">
        <f t="shared" ref="D55:D65" si="7">+D12*D27/12*D41*$D$7</f>
        <v>28000</v>
      </c>
      <c r="E55" s="91">
        <f t="shared" ref="E55:E65" si="8">+E12*E27/12*E41*$E$7</f>
        <v>28000</v>
      </c>
      <c r="F55" s="91">
        <f t="shared" ref="F55:F65" si="9">+F12*F27/12*F41*$F$7</f>
        <v>28000</v>
      </c>
      <c r="G55" s="91">
        <f t="shared" ref="G55:G65" si="10">+G12*G27/12*G41*$G$7</f>
        <v>28000</v>
      </c>
      <c r="H55" s="91">
        <f t="shared" ref="H55:H65" si="11">+H12*H27/12*H41*$H$7</f>
        <v>28000</v>
      </c>
      <c r="I55" s="91">
        <f t="shared" ref="I55:I65" si="12">+I12*I27/12*I41*$I$7</f>
        <v>28000</v>
      </c>
    </row>
    <row r="56" spans="1:9">
      <c r="A56" s="82" t="str">
        <f t="shared" ref="A56:A65" si="13">+A42</f>
        <v>Administrativa / Financeira</v>
      </c>
      <c r="B56" s="74"/>
      <c r="C56" s="75"/>
      <c r="D56" s="91">
        <f t="shared" si="7"/>
        <v>19600</v>
      </c>
      <c r="E56" s="91">
        <f t="shared" si="8"/>
        <v>39200</v>
      </c>
      <c r="F56" s="91">
        <f t="shared" si="9"/>
        <v>39200</v>
      </c>
      <c r="G56" s="91">
        <f t="shared" si="10"/>
        <v>39200</v>
      </c>
      <c r="H56" s="91">
        <f t="shared" si="11"/>
        <v>39200</v>
      </c>
      <c r="I56" s="91">
        <f t="shared" si="12"/>
        <v>39200</v>
      </c>
    </row>
    <row r="57" spans="1:9">
      <c r="A57" s="82" t="str">
        <f t="shared" si="13"/>
        <v>Comercial / Marketing</v>
      </c>
      <c r="B57" s="74"/>
      <c r="C57" s="75"/>
      <c r="D57" s="91">
        <f t="shared" si="7"/>
        <v>15400</v>
      </c>
      <c r="E57" s="91">
        <f t="shared" si="8"/>
        <v>30800</v>
      </c>
      <c r="F57" s="91">
        <f t="shared" si="9"/>
        <v>30800</v>
      </c>
      <c r="G57" s="91">
        <f t="shared" si="10"/>
        <v>30800</v>
      </c>
      <c r="H57" s="91">
        <f t="shared" si="11"/>
        <v>30800</v>
      </c>
      <c r="I57" s="91">
        <f t="shared" si="12"/>
        <v>30800</v>
      </c>
    </row>
    <row r="58" spans="1:9">
      <c r="A58" s="82" t="str">
        <f t="shared" si="13"/>
        <v>Produção / Operacional</v>
      </c>
      <c r="B58" s="74"/>
      <c r="C58" s="75"/>
      <c r="D58" s="91">
        <f t="shared" si="7"/>
        <v>16800</v>
      </c>
      <c r="E58" s="91">
        <f t="shared" si="8"/>
        <v>50400</v>
      </c>
      <c r="F58" s="91">
        <f t="shared" si="9"/>
        <v>50400</v>
      </c>
      <c r="G58" s="91">
        <f t="shared" si="10"/>
        <v>67200</v>
      </c>
      <c r="H58" s="91">
        <f t="shared" si="11"/>
        <v>67200</v>
      </c>
      <c r="I58" s="91">
        <f t="shared" si="12"/>
        <v>84000</v>
      </c>
    </row>
    <row r="59" spans="1:9">
      <c r="A59" s="82" t="str">
        <f t="shared" si="13"/>
        <v>Qualidade</v>
      </c>
      <c r="B59" s="74"/>
      <c r="C59" s="75"/>
      <c r="D59" s="91">
        <f t="shared" si="7"/>
        <v>0</v>
      </c>
      <c r="E59" s="91">
        <f t="shared" si="8"/>
        <v>0</v>
      </c>
      <c r="F59" s="91">
        <f t="shared" si="9"/>
        <v>0</v>
      </c>
      <c r="G59" s="91">
        <f t="shared" si="10"/>
        <v>0</v>
      </c>
      <c r="H59" s="91">
        <f t="shared" si="11"/>
        <v>0</v>
      </c>
      <c r="I59" s="91">
        <f t="shared" si="12"/>
        <v>0</v>
      </c>
    </row>
    <row r="60" spans="1:9">
      <c r="A60" s="82" t="str">
        <f t="shared" si="13"/>
        <v>Manutenção</v>
      </c>
      <c r="B60" s="74"/>
      <c r="C60" s="75"/>
      <c r="D60" s="91">
        <f t="shared" si="7"/>
        <v>0</v>
      </c>
      <c r="E60" s="91">
        <f t="shared" si="8"/>
        <v>0</v>
      </c>
      <c r="F60" s="91">
        <f t="shared" si="9"/>
        <v>0</v>
      </c>
      <c r="G60" s="91">
        <f t="shared" si="10"/>
        <v>0</v>
      </c>
      <c r="H60" s="91">
        <f t="shared" si="11"/>
        <v>0</v>
      </c>
      <c r="I60" s="91">
        <f t="shared" si="12"/>
        <v>0</v>
      </c>
    </row>
    <row r="61" spans="1:9">
      <c r="A61" s="82" t="str">
        <f t="shared" si="13"/>
        <v>Aprovisionamento</v>
      </c>
      <c r="B61" s="74"/>
      <c r="C61" s="75"/>
      <c r="D61" s="91">
        <f t="shared" si="7"/>
        <v>0</v>
      </c>
      <c r="E61" s="91">
        <f t="shared" si="8"/>
        <v>0</v>
      </c>
      <c r="F61" s="91">
        <f t="shared" si="9"/>
        <v>0</v>
      </c>
      <c r="G61" s="91">
        <f t="shared" si="10"/>
        <v>0</v>
      </c>
      <c r="H61" s="91">
        <f t="shared" si="11"/>
        <v>0</v>
      </c>
      <c r="I61" s="91">
        <f t="shared" si="12"/>
        <v>0</v>
      </c>
    </row>
    <row r="62" spans="1:9">
      <c r="A62" s="82" t="str">
        <f t="shared" si="13"/>
        <v>Investigação e Desenvolvimento</v>
      </c>
      <c r="B62" s="74"/>
      <c r="C62" s="75"/>
      <c r="D62" s="91">
        <f t="shared" si="7"/>
        <v>22400</v>
      </c>
      <c r="E62" s="91">
        <f t="shared" si="8"/>
        <v>67200</v>
      </c>
      <c r="F62" s="91">
        <f t="shared" si="9"/>
        <v>67200</v>
      </c>
      <c r="G62" s="91">
        <f t="shared" si="10"/>
        <v>67200</v>
      </c>
      <c r="H62" s="91">
        <f t="shared" si="11"/>
        <v>67200</v>
      </c>
      <c r="I62" s="91">
        <f t="shared" si="12"/>
        <v>67200</v>
      </c>
    </row>
    <row r="63" spans="1:9">
      <c r="A63" s="82" t="str">
        <f t="shared" si="13"/>
        <v>Outros</v>
      </c>
      <c r="B63" s="74"/>
      <c r="C63" s="75"/>
      <c r="D63" s="91">
        <f t="shared" si="7"/>
        <v>0</v>
      </c>
      <c r="E63" s="91">
        <f t="shared" si="8"/>
        <v>0</v>
      </c>
      <c r="F63" s="91">
        <f t="shared" si="9"/>
        <v>0</v>
      </c>
      <c r="G63" s="91">
        <f t="shared" si="10"/>
        <v>0</v>
      </c>
      <c r="H63" s="91">
        <f t="shared" si="11"/>
        <v>0</v>
      </c>
      <c r="I63" s="91">
        <f t="shared" si="12"/>
        <v>0</v>
      </c>
    </row>
    <row r="64" spans="1:9">
      <c r="A64" s="82">
        <f t="shared" si="13"/>
        <v>0</v>
      </c>
      <c r="B64" s="85"/>
      <c r="C64" s="86"/>
      <c r="D64" s="91">
        <f t="shared" si="7"/>
        <v>0</v>
      </c>
      <c r="E64" s="91">
        <f t="shared" si="8"/>
        <v>0</v>
      </c>
      <c r="F64" s="91">
        <f t="shared" si="9"/>
        <v>0</v>
      </c>
      <c r="G64" s="91">
        <f t="shared" si="10"/>
        <v>0</v>
      </c>
      <c r="H64" s="91">
        <f t="shared" si="11"/>
        <v>0</v>
      </c>
      <c r="I64" s="91">
        <f t="shared" si="12"/>
        <v>0</v>
      </c>
    </row>
    <row r="65" spans="1:9">
      <c r="A65" s="82">
        <f t="shared" si="13"/>
        <v>0</v>
      </c>
      <c r="B65" s="85"/>
      <c r="C65" s="86"/>
      <c r="D65" s="91">
        <f t="shared" si="7"/>
        <v>0</v>
      </c>
      <c r="E65" s="91">
        <f t="shared" si="8"/>
        <v>0</v>
      </c>
      <c r="F65" s="91">
        <f t="shared" si="9"/>
        <v>0</v>
      </c>
      <c r="G65" s="91">
        <f t="shared" si="10"/>
        <v>0</v>
      </c>
      <c r="H65" s="91">
        <f t="shared" si="11"/>
        <v>0</v>
      </c>
      <c r="I65" s="91">
        <f t="shared" si="12"/>
        <v>0</v>
      </c>
    </row>
    <row r="66" spans="1:9" ht="10.8" thickBot="1">
      <c r="A66" s="586" t="s">
        <v>31</v>
      </c>
      <c r="B66" s="587"/>
      <c r="C66" s="588"/>
      <c r="D66" s="92">
        <f t="shared" ref="D66:I66" si="14">+SUM(D55:D65)</f>
        <v>102200</v>
      </c>
      <c r="E66" s="92">
        <f t="shared" si="14"/>
        <v>215600</v>
      </c>
      <c r="F66" s="92">
        <f t="shared" si="14"/>
        <v>215600</v>
      </c>
      <c r="G66" s="92">
        <f t="shared" si="14"/>
        <v>232400</v>
      </c>
      <c r="H66" s="92">
        <f t="shared" si="14"/>
        <v>232400</v>
      </c>
      <c r="I66" s="92">
        <f t="shared" si="14"/>
        <v>249200</v>
      </c>
    </row>
    <row r="67" spans="1:9" ht="10.8" thickTop="1">
      <c r="A67" s="87"/>
      <c r="B67" s="88"/>
      <c r="C67" s="89"/>
      <c r="D67" s="90"/>
      <c r="E67" s="90"/>
      <c r="F67" s="90"/>
      <c r="G67" s="90"/>
      <c r="H67" s="90"/>
      <c r="I67" s="90"/>
    </row>
    <row r="68" spans="1:9">
      <c r="A68" s="48"/>
      <c r="B68" s="48"/>
      <c r="C68" s="81"/>
      <c r="D68" s="93"/>
      <c r="E68" s="93"/>
      <c r="F68" s="93"/>
      <c r="G68" s="93"/>
      <c r="H68" s="93"/>
      <c r="I68" s="93"/>
    </row>
    <row r="69" spans="1:9" ht="13.2">
      <c r="A69" s="594" t="s">
        <v>170</v>
      </c>
      <c r="B69" s="595"/>
      <c r="C69" s="596"/>
      <c r="D69" s="45">
        <f t="shared" ref="D69:I69" si="15">+D6</f>
        <v>2025</v>
      </c>
      <c r="E69" s="45">
        <f t="shared" si="15"/>
        <v>2026</v>
      </c>
      <c r="F69" s="45">
        <f t="shared" si="15"/>
        <v>2027</v>
      </c>
      <c r="G69" s="45">
        <f t="shared" si="15"/>
        <v>2028</v>
      </c>
      <c r="H69" s="45">
        <f t="shared" si="15"/>
        <v>2029</v>
      </c>
      <c r="I69" s="45">
        <f t="shared" si="15"/>
        <v>2030</v>
      </c>
    </row>
    <row r="70" spans="1:9">
      <c r="A70" s="94" t="s">
        <v>54</v>
      </c>
      <c r="B70" s="95"/>
      <c r="C70" s="63"/>
      <c r="D70" s="63"/>
      <c r="E70" s="63"/>
      <c r="F70" s="63"/>
      <c r="G70" s="63"/>
      <c r="H70" s="63"/>
      <c r="I70" s="63"/>
    </row>
    <row r="71" spans="1:9">
      <c r="A71" s="49" t="s">
        <v>169</v>
      </c>
      <c r="B71" s="96"/>
      <c r="C71" s="97">
        <f>+Pressupostos!B24</f>
        <v>0.23749999999999999</v>
      </c>
      <c r="D71" s="98">
        <f t="shared" ref="D71:I71" si="16">$C$71*(D55+D77)</f>
        <v>6650</v>
      </c>
      <c r="E71" s="98">
        <f t="shared" si="16"/>
        <v>6650</v>
      </c>
      <c r="F71" s="98">
        <f t="shared" si="16"/>
        <v>6650</v>
      </c>
      <c r="G71" s="98">
        <f t="shared" si="16"/>
        <v>6650</v>
      </c>
      <c r="H71" s="98">
        <f t="shared" si="16"/>
        <v>6650</v>
      </c>
      <c r="I71" s="98">
        <f t="shared" si="16"/>
        <v>6650</v>
      </c>
    </row>
    <row r="72" spans="1:9">
      <c r="A72" s="49" t="s">
        <v>26</v>
      </c>
      <c r="B72" s="96"/>
      <c r="C72" s="97">
        <f>+Pressupostos!B25</f>
        <v>0.23749999999999999</v>
      </c>
      <c r="D72" s="98">
        <f t="shared" ref="D72:I72" si="17">+$C$72*(SUM(D56:D65)+D78)</f>
        <v>17622.5</v>
      </c>
      <c r="E72" s="98">
        <f t="shared" si="17"/>
        <v>44555</v>
      </c>
      <c r="F72" s="98">
        <f t="shared" si="17"/>
        <v>44555</v>
      </c>
      <c r="G72" s="98">
        <f t="shared" si="17"/>
        <v>48545</v>
      </c>
      <c r="H72" s="98">
        <f t="shared" si="17"/>
        <v>48545</v>
      </c>
      <c r="I72" s="98">
        <f t="shared" si="17"/>
        <v>52535</v>
      </c>
    </row>
    <row r="73" spans="1:9">
      <c r="A73" s="99" t="s">
        <v>16</v>
      </c>
      <c r="B73" s="100"/>
      <c r="C73" s="348">
        <v>0.01</v>
      </c>
      <c r="D73" s="101">
        <f t="shared" ref="D73:I73" si="18">+$C$73*D66</f>
        <v>1022</v>
      </c>
      <c r="E73" s="101">
        <f t="shared" si="18"/>
        <v>2156</v>
      </c>
      <c r="F73" s="101">
        <f t="shared" si="18"/>
        <v>2156</v>
      </c>
      <c r="G73" s="101">
        <f t="shared" si="18"/>
        <v>2324</v>
      </c>
      <c r="H73" s="101">
        <f t="shared" si="18"/>
        <v>2324</v>
      </c>
      <c r="I73" s="101">
        <f t="shared" si="18"/>
        <v>2492</v>
      </c>
    </row>
    <row r="74" spans="1:9">
      <c r="A74" s="99" t="s">
        <v>358</v>
      </c>
      <c r="B74" s="100"/>
      <c r="C74" s="6">
        <f>4.77*22</f>
        <v>104.94</v>
      </c>
      <c r="D74" s="101">
        <f t="shared" ref="D74:I74" si="19">+$C$74*D75*D23</f>
        <v>5771.7</v>
      </c>
      <c r="E74" s="101">
        <f t="shared" si="19"/>
        <v>12697.74</v>
      </c>
      <c r="F74" s="101">
        <f t="shared" si="19"/>
        <v>12697.74</v>
      </c>
      <c r="G74" s="101">
        <f t="shared" si="19"/>
        <v>13852.079999999998</v>
      </c>
      <c r="H74" s="101">
        <f t="shared" si="19"/>
        <v>13852.079999999998</v>
      </c>
      <c r="I74" s="101">
        <f t="shared" si="19"/>
        <v>15006.419999999998</v>
      </c>
    </row>
    <row r="75" spans="1:9">
      <c r="A75" s="316" t="s">
        <v>359</v>
      </c>
      <c r="B75" s="112"/>
      <c r="C75" s="63"/>
      <c r="D75" s="516">
        <f t="shared" ref="D75:I75" si="20">IF(D9&lt;12,D9/12*11,11)</f>
        <v>11</v>
      </c>
      <c r="E75" s="516">
        <f t="shared" si="20"/>
        <v>11</v>
      </c>
      <c r="F75" s="516">
        <f t="shared" si="20"/>
        <v>11</v>
      </c>
      <c r="G75" s="516">
        <f t="shared" si="20"/>
        <v>11</v>
      </c>
      <c r="H75" s="516">
        <f t="shared" si="20"/>
        <v>11</v>
      </c>
      <c r="I75" s="516">
        <f t="shared" si="20"/>
        <v>11</v>
      </c>
    </row>
    <row r="76" spans="1:9">
      <c r="A76" s="99" t="s">
        <v>177</v>
      </c>
      <c r="B76" s="112"/>
      <c r="C76" s="63"/>
      <c r="D76" s="98"/>
      <c r="E76" s="98"/>
      <c r="F76" s="98"/>
      <c r="G76" s="98"/>
      <c r="H76" s="98"/>
      <c r="I76" s="98"/>
    </row>
    <row r="77" spans="1:9">
      <c r="A77" s="49" t="s">
        <v>479</v>
      </c>
      <c r="B77" s="96"/>
      <c r="C77" s="30"/>
      <c r="D77" s="218"/>
      <c r="E77" s="218"/>
      <c r="F77" s="218"/>
      <c r="G77" s="218"/>
      <c r="H77" s="218"/>
      <c r="I77" s="218"/>
    </row>
    <row r="78" spans="1:9">
      <c r="A78" s="49" t="s">
        <v>26</v>
      </c>
      <c r="B78" s="96"/>
      <c r="C78" s="30"/>
      <c r="D78" s="218"/>
      <c r="E78" s="218"/>
      <c r="F78" s="218"/>
      <c r="G78" s="218"/>
      <c r="H78" s="218"/>
      <c r="I78" s="218"/>
    </row>
    <row r="79" spans="1:9">
      <c r="A79" s="102" t="s">
        <v>30</v>
      </c>
      <c r="B79" s="102"/>
      <c r="C79" s="103"/>
      <c r="D79" s="24"/>
      <c r="E79" s="24"/>
      <c r="F79" s="24"/>
      <c r="G79" s="24"/>
      <c r="H79" s="24"/>
      <c r="I79" s="24"/>
    </row>
    <row r="80" spans="1:9">
      <c r="A80" s="104" t="s">
        <v>360</v>
      </c>
      <c r="B80" s="86"/>
      <c r="C80" s="105"/>
      <c r="D80" s="26"/>
      <c r="E80" s="26"/>
      <c r="F80" s="26"/>
      <c r="G80" s="26"/>
      <c r="H80" s="26"/>
      <c r="I80" s="26"/>
    </row>
    <row r="81" spans="1:9" ht="14.25" customHeight="1" thickBot="1">
      <c r="A81" s="591" t="s">
        <v>171</v>
      </c>
      <c r="B81" s="592"/>
      <c r="C81" s="593"/>
      <c r="D81" s="28">
        <f t="shared" ref="D81:I81" si="21">+D71+D72+D73+D74+D77+D78+D79+D80</f>
        <v>31066.2</v>
      </c>
      <c r="E81" s="28">
        <f t="shared" si="21"/>
        <v>66058.740000000005</v>
      </c>
      <c r="F81" s="28">
        <f t="shared" si="21"/>
        <v>66058.740000000005</v>
      </c>
      <c r="G81" s="28">
        <f t="shared" si="21"/>
        <v>71371.08</v>
      </c>
      <c r="H81" s="28">
        <f t="shared" si="21"/>
        <v>71371.08</v>
      </c>
      <c r="I81" s="28">
        <f t="shared" si="21"/>
        <v>76683.42</v>
      </c>
    </row>
    <row r="82" spans="1:9" ht="10.8" thickTop="1">
      <c r="A82" s="88"/>
      <c r="B82" s="88"/>
      <c r="C82" s="88"/>
      <c r="D82" s="48"/>
      <c r="E82" s="48"/>
      <c r="F82" s="48"/>
      <c r="G82" s="48"/>
      <c r="H82" s="48"/>
      <c r="I82" s="48"/>
    </row>
    <row r="83" spans="1:9" ht="10.8" thickBot="1">
      <c r="A83" s="591" t="s">
        <v>172</v>
      </c>
      <c r="B83" s="592"/>
      <c r="C83" s="593"/>
      <c r="D83" s="28">
        <f t="shared" ref="D83:I83" si="22">D66+D81</f>
        <v>133266.20000000001</v>
      </c>
      <c r="E83" s="28">
        <f t="shared" si="22"/>
        <v>281658.74</v>
      </c>
      <c r="F83" s="28">
        <f t="shared" si="22"/>
        <v>281658.74</v>
      </c>
      <c r="G83" s="28">
        <f t="shared" si="22"/>
        <v>303771.08</v>
      </c>
      <c r="H83" s="28">
        <f t="shared" si="22"/>
        <v>303771.08</v>
      </c>
      <c r="I83" s="28">
        <f t="shared" si="22"/>
        <v>325883.42</v>
      </c>
    </row>
    <row r="84" spans="1:9" ht="10.8" thickTop="1">
      <c r="A84" s="88"/>
      <c r="B84" s="88"/>
      <c r="C84" s="88"/>
      <c r="D84" s="48"/>
      <c r="E84" s="48"/>
      <c r="F84" s="48"/>
      <c r="G84" s="48"/>
      <c r="H84" s="48"/>
      <c r="I84" s="48"/>
    </row>
    <row r="85" spans="1:9">
      <c r="A85" s="88"/>
      <c r="B85" s="88"/>
      <c r="C85" s="88"/>
      <c r="D85" s="48"/>
      <c r="E85" s="48"/>
      <c r="F85" s="48"/>
      <c r="G85" s="48"/>
      <c r="H85" s="48"/>
      <c r="I85" s="48"/>
    </row>
    <row r="86" spans="1:9">
      <c r="A86" s="597" t="s">
        <v>55</v>
      </c>
      <c r="B86" s="598"/>
      <c r="C86" s="599"/>
      <c r="D86" s="45">
        <f t="shared" ref="D86:I86" si="23">+D6</f>
        <v>2025</v>
      </c>
      <c r="E86" s="45">
        <f t="shared" si="23"/>
        <v>2026</v>
      </c>
      <c r="F86" s="45">
        <f t="shared" si="23"/>
        <v>2027</v>
      </c>
      <c r="G86" s="45">
        <f t="shared" si="23"/>
        <v>2028</v>
      </c>
      <c r="H86" s="45">
        <f t="shared" si="23"/>
        <v>2029</v>
      </c>
      <c r="I86" s="45">
        <f t="shared" si="23"/>
        <v>2030</v>
      </c>
    </row>
    <row r="87" spans="1:9">
      <c r="A87" s="82" t="s">
        <v>168</v>
      </c>
      <c r="B87" s="75"/>
      <c r="C87" s="105"/>
      <c r="D87" s="78"/>
      <c r="E87" s="78"/>
      <c r="F87" s="78"/>
      <c r="G87" s="78"/>
      <c r="H87" s="78"/>
      <c r="I87" s="78"/>
    </row>
    <row r="88" spans="1:9">
      <c r="A88" s="49" t="s">
        <v>169</v>
      </c>
      <c r="B88" s="106"/>
      <c r="C88" s="105"/>
      <c r="D88" s="98">
        <f t="shared" ref="D88:I88" si="24">D55+D77</f>
        <v>28000</v>
      </c>
      <c r="E88" s="98">
        <f t="shared" si="24"/>
        <v>28000</v>
      </c>
      <c r="F88" s="98">
        <f t="shared" si="24"/>
        <v>28000</v>
      </c>
      <c r="G88" s="98">
        <f t="shared" si="24"/>
        <v>28000</v>
      </c>
      <c r="H88" s="98">
        <f t="shared" si="24"/>
        <v>28000</v>
      </c>
      <c r="I88" s="98">
        <f t="shared" si="24"/>
        <v>28000</v>
      </c>
    </row>
    <row r="89" spans="1:9">
      <c r="A89" s="49" t="s">
        <v>26</v>
      </c>
      <c r="B89" s="106"/>
      <c r="C89" s="105"/>
      <c r="D89" s="98">
        <f t="shared" ref="D89:I89" si="25">+SUM(D56:D65)+D78</f>
        <v>74200</v>
      </c>
      <c r="E89" s="98">
        <f t="shared" si="25"/>
        <v>187600</v>
      </c>
      <c r="F89" s="98">
        <f t="shared" si="25"/>
        <v>187600</v>
      </c>
      <c r="G89" s="98">
        <f t="shared" si="25"/>
        <v>204400</v>
      </c>
      <c r="H89" s="98">
        <f t="shared" si="25"/>
        <v>204400</v>
      </c>
      <c r="I89" s="98">
        <f t="shared" si="25"/>
        <v>221200</v>
      </c>
    </row>
    <row r="90" spans="1:9">
      <c r="A90" s="82" t="s">
        <v>361</v>
      </c>
      <c r="B90" s="75"/>
      <c r="C90" s="105"/>
      <c r="D90" s="98">
        <f t="shared" ref="D90:I90" si="26">+D71+D72</f>
        <v>24272.5</v>
      </c>
      <c r="E90" s="98">
        <f t="shared" si="26"/>
        <v>51205</v>
      </c>
      <c r="F90" s="98">
        <f t="shared" si="26"/>
        <v>51205</v>
      </c>
      <c r="G90" s="98">
        <f t="shared" si="26"/>
        <v>55195</v>
      </c>
      <c r="H90" s="98">
        <f t="shared" si="26"/>
        <v>55195</v>
      </c>
      <c r="I90" s="98">
        <f t="shared" si="26"/>
        <v>59185</v>
      </c>
    </row>
    <row r="91" spans="1:9">
      <c r="A91" s="99" t="s">
        <v>362</v>
      </c>
      <c r="B91" s="75"/>
      <c r="C91" s="105"/>
      <c r="D91" s="98">
        <f t="shared" ref="D91:I91" si="27">+D73</f>
        <v>1022</v>
      </c>
      <c r="E91" s="98">
        <f t="shared" si="27"/>
        <v>2156</v>
      </c>
      <c r="F91" s="98">
        <f t="shared" si="27"/>
        <v>2156</v>
      </c>
      <c r="G91" s="98">
        <f t="shared" si="27"/>
        <v>2324</v>
      </c>
      <c r="H91" s="98">
        <f t="shared" si="27"/>
        <v>2324</v>
      </c>
      <c r="I91" s="98">
        <f t="shared" si="27"/>
        <v>2492</v>
      </c>
    </row>
    <row r="92" spans="1:9">
      <c r="A92" s="82" t="s">
        <v>363</v>
      </c>
      <c r="B92" s="75"/>
      <c r="C92" s="105"/>
      <c r="D92" s="98">
        <f t="shared" ref="D92:I92" si="28">+D74</f>
        <v>5771.7</v>
      </c>
      <c r="E92" s="98">
        <f t="shared" si="28"/>
        <v>12697.74</v>
      </c>
      <c r="F92" s="98">
        <f t="shared" si="28"/>
        <v>12697.74</v>
      </c>
      <c r="G92" s="98">
        <f t="shared" si="28"/>
        <v>13852.079999999998</v>
      </c>
      <c r="H92" s="98">
        <f t="shared" si="28"/>
        <v>13852.079999999998</v>
      </c>
      <c r="I92" s="98">
        <f t="shared" si="28"/>
        <v>15006.419999999998</v>
      </c>
    </row>
    <row r="93" spans="1:9">
      <c r="A93" s="104" t="s">
        <v>364</v>
      </c>
      <c r="B93" s="86"/>
      <c r="C93" s="107"/>
      <c r="D93" s="263">
        <f t="shared" ref="D93:I93" si="29">+D79+D80</f>
        <v>0</v>
      </c>
      <c r="E93" s="263">
        <f t="shared" si="29"/>
        <v>0</v>
      </c>
      <c r="F93" s="263">
        <f t="shared" si="29"/>
        <v>0</v>
      </c>
      <c r="G93" s="263">
        <f t="shared" si="29"/>
        <v>0</v>
      </c>
      <c r="H93" s="263">
        <f t="shared" si="29"/>
        <v>0</v>
      </c>
      <c r="I93" s="263">
        <f t="shared" si="29"/>
        <v>0</v>
      </c>
    </row>
    <row r="94" spans="1:9" ht="10.8" thickBot="1">
      <c r="A94" s="591" t="s">
        <v>172</v>
      </c>
      <c r="B94" s="592"/>
      <c r="C94" s="593"/>
      <c r="D94" s="28">
        <f t="shared" ref="D94:I94" si="30">SUM(D88:D93)</f>
        <v>133266.20000000001</v>
      </c>
      <c r="E94" s="28">
        <f t="shared" si="30"/>
        <v>281658.74</v>
      </c>
      <c r="F94" s="28">
        <f t="shared" si="30"/>
        <v>281658.74</v>
      </c>
      <c r="G94" s="28">
        <f t="shared" si="30"/>
        <v>303771.08</v>
      </c>
      <c r="H94" s="28">
        <f t="shared" si="30"/>
        <v>303771.08</v>
      </c>
      <c r="I94" s="28">
        <f t="shared" si="30"/>
        <v>325883.42</v>
      </c>
    </row>
    <row r="95" spans="1:9" ht="10.8" thickTop="1">
      <c r="A95" s="108"/>
      <c r="B95" s="108"/>
      <c r="C95" s="108"/>
      <c r="D95" s="93"/>
      <c r="E95" s="93"/>
      <c r="F95" s="93"/>
      <c r="G95" s="93"/>
      <c r="H95" s="93"/>
      <c r="I95" s="93"/>
    </row>
    <row r="96" spans="1:9">
      <c r="A96" s="88"/>
      <c r="B96" s="88"/>
      <c r="C96" s="48"/>
      <c r="D96" s="48"/>
      <c r="E96" s="48"/>
      <c r="F96" s="48"/>
      <c r="G96" s="48"/>
      <c r="H96" s="48"/>
      <c r="I96" s="48"/>
    </row>
    <row r="97" spans="1:9" ht="13.2">
      <c r="A97" s="594" t="s">
        <v>97</v>
      </c>
      <c r="B97" s="595"/>
      <c r="C97" s="596"/>
      <c r="D97" s="45">
        <f t="shared" ref="D97:I97" si="31">+D86</f>
        <v>2025</v>
      </c>
      <c r="E97" s="45">
        <f t="shared" si="31"/>
        <v>2026</v>
      </c>
      <c r="F97" s="45">
        <f t="shared" si="31"/>
        <v>2027</v>
      </c>
      <c r="G97" s="45">
        <f t="shared" si="31"/>
        <v>2028</v>
      </c>
      <c r="H97" s="45">
        <f t="shared" si="31"/>
        <v>2029</v>
      </c>
      <c r="I97" s="45">
        <f t="shared" si="31"/>
        <v>2030</v>
      </c>
    </row>
    <row r="98" spans="1:9">
      <c r="A98" s="82" t="s">
        <v>95</v>
      </c>
      <c r="B98" s="75"/>
      <c r="C98" s="97"/>
      <c r="D98" s="98"/>
      <c r="E98" s="98"/>
      <c r="F98" s="98"/>
      <c r="G98" s="98"/>
      <c r="H98" s="98"/>
      <c r="I98" s="98"/>
    </row>
    <row r="99" spans="1:9">
      <c r="A99" s="49" t="s">
        <v>365</v>
      </c>
      <c r="B99" s="96"/>
      <c r="C99" s="97">
        <f>+Pressupostos!B26</f>
        <v>0.11</v>
      </c>
      <c r="D99" s="98">
        <f t="shared" ref="D99:I99" si="32">+$C$99*D88</f>
        <v>3080</v>
      </c>
      <c r="E99" s="98">
        <f t="shared" si="32"/>
        <v>3080</v>
      </c>
      <c r="F99" s="98">
        <f t="shared" si="32"/>
        <v>3080</v>
      </c>
      <c r="G99" s="98">
        <f t="shared" si="32"/>
        <v>3080</v>
      </c>
      <c r="H99" s="98">
        <f t="shared" si="32"/>
        <v>3080</v>
      </c>
      <c r="I99" s="98">
        <f t="shared" si="32"/>
        <v>3080</v>
      </c>
    </row>
    <row r="100" spans="1:9">
      <c r="A100" s="49" t="s">
        <v>94</v>
      </c>
      <c r="B100" s="96"/>
      <c r="C100" s="97">
        <f>+Pressupostos!B27</f>
        <v>0.11</v>
      </c>
      <c r="D100" s="98">
        <f t="shared" ref="D100:I100" si="33">+$C$100*D89</f>
        <v>8162</v>
      </c>
      <c r="E100" s="98">
        <f t="shared" si="33"/>
        <v>20636</v>
      </c>
      <c r="F100" s="98">
        <f t="shared" si="33"/>
        <v>20636</v>
      </c>
      <c r="G100" s="98">
        <f t="shared" si="33"/>
        <v>22484</v>
      </c>
      <c r="H100" s="98">
        <f t="shared" si="33"/>
        <v>22484</v>
      </c>
      <c r="I100" s="98">
        <f t="shared" si="33"/>
        <v>24332</v>
      </c>
    </row>
    <row r="101" spans="1:9">
      <c r="A101" s="82" t="s">
        <v>96</v>
      </c>
      <c r="B101" s="75"/>
      <c r="C101" s="97">
        <f>+Pressupostos!B28</f>
        <v>0.15</v>
      </c>
      <c r="D101" s="98">
        <f t="shared" ref="D101:I101" si="34">+$C$101*(D88+D89)</f>
        <v>15330</v>
      </c>
      <c r="E101" s="98">
        <f t="shared" si="34"/>
        <v>32340</v>
      </c>
      <c r="F101" s="98">
        <f t="shared" si="34"/>
        <v>32340</v>
      </c>
      <c r="G101" s="98">
        <f t="shared" si="34"/>
        <v>34860</v>
      </c>
      <c r="H101" s="98">
        <f t="shared" si="34"/>
        <v>34860</v>
      </c>
      <c r="I101" s="98">
        <f t="shared" si="34"/>
        <v>37380</v>
      </c>
    </row>
    <row r="102" spans="1:9" ht="10.8" thickBot="1">
      <c r="A102" s="591" t="s">
        <v>98</v>
      </c>
      <c r="B102" s="592"/>
      <c r="C102" s="593"/>
      <c r="D102" s="28">
        <f t="shared" ref="D102:I102" si="35">SUM(D99:D101)</f>
        <v>26572</v>
      </c>
      <c r="E102" s="28">
        <f t="shared" si="35"/>
        <v>56056</v>
      </c>
      <c r="F102" s="28">
        <f t="shared" si="35"/>
        <v>56056</v>
      </c>
      <c r="G102" s="28">
        <f t="shared" si="35"/>
        <v>60424</v>
      </c>
      <c r="H102" s="28">
        <f t="shared" si="35"/>
        <v>60424</v>
      </c>
      <c r="I102" s="28">
        <f t="shared" si="35"/>
        <v>64792</v>
      </c>
    </row>
    <row r="103" spans="1:9" ht="10.8" thickTop="1">
      <c r="C103" s="109"/>
      <c r="D103" s="110"/>
      <c r="E103" s="110"/>
      <c r="F103" s="110"/>
      <c r="G103" s="110"/>
      <c r="H103" s="110"/>
      <c r="I103" s="110"/>
    </row>
    <row r="104" spans="1:9">
      <c r="C104" s="109"/>
    </row>
    <row r="105" spans="1:9">
      <c r="A105" s="111"/>
      <c r="B105" s="111"/>
      <c r="C105" s="109"/>
      <c r="D105" s="110"/>
      <c r="E105" s="110"/>
      <c r="F105" s="110"/>
      <c r="G105" s="110"/>
      <c r="H105" s="110"/>
      <c r="I105" s="110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5749-AEB6-467C-A3B5-F72445223AE0}">
  <sheetPr codeName="Sheet10">
    <pageSetUpPr fitToPage="1"/>
  </sheetPr>
  <dimension ref="A1:H37"/>
  <sheetViews>
    <sheetView showGridLines="0" showZeros="0" zoomScaleNormal="100" workbookViewId="0">
      <selection activeCell="I16" sqref="I16"/>
    </sheetView>
  </sheetViews>
  <sheetFormatPr defaultColWidth="8.6640625" defaultRowHeight="10.199999999999999"/>
  <cols>
    <col min="1" max="1" width="30.88671875" style="56" customWidth="1"/>
    <col min="2" max="2" width="7.5546875" style="56" customWidth="1"/>
    <col min="3" max="13" width="11.44140625" style="56" customWidth="1"/>
    <col min="14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447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56</v>
      </c>
      <c r="B8" s="112"/>
      <c r="C8" s="113"/>
      <c r="D8" s="78"/>
      <c r="E8" s="78"/>
      <c r="F8" s="78"/>
      <c r="G8" s="78"/>
      <c r="H8" s="78"/>
    </row>
    <row r="9" spans="1:8">
      <c r="A9" s="49" t="s">
        <v>495</v>
      </c>
      <c r="B9" s="112"/>
      <c r="C9" s="5">
        <v>20000</v>
      </c>
      <c r="D9" s="84">
        <f>+C9</f>
        <v>20000</v>
      </c>
      <c r="E9" s="84">
        <f>+D9</f>
        <v>20000</v>
      </c>
      <c r="F9" s="84">
        <f>+E9</f>
        <v>20000</v>
      </c>
      <c r="G9" s="84">
        <f>+F9</f>
        <v>20000</v>
      </c>
      <c r="H9" s="84">
        <f>+G9</f>
        <v>20000</v>
      </c>
    </row>
    <row r="10" spans="1:8">
      <c r="A10" s="49" t="s">
        <v>33</v>
      </c>
      <c r="B10" s="112"/>
      <c r="C10" s="84">
        <f>VN!C84*Pressupostos!$C$13/12</f>
        <v>289547.83333333331</v>
      </c>
      <c r="D10" s="84">
        <f>VN!D84*Pressupostos!$C$13/12</f>
        <v>402203.217</v>
      </c>
      <c r="E10" s="84">
        <f>VN!E84*Pressupostos!$C$13/12</f>
        <v>559396.07254199998</v>
      </c>
      <c r="F10" s="84">
        <f>VN!F84*Pressupostos!$C$13/12</f>
        <v>779193.07336509216</v>
      </c>
      <c r="G10" s="84">
        <f>VN!G84*Pressupostos!$C$13/12</f>
        <v>1086830.1300183553</v>
      </c>
      <c r="H10" s="84">
        <f>VN!H84*Pressupostos!$C$13/12</f>
        <v>1517907.6796211342</v>
      </c>
    </row>
    <row r="11" spans="1:8">
      <c r="A11" s="49" t="s">
        <v>157</v>
      </c>
      <c r="B11" s="112"/>
      <c r="C11" s="84">
        <f>CMVMC!C16*Pressupostos!$C$15/12</f>
        <v>216626.66666666666</v>
      </c>
      <c r="D11" s="84">
        <f>CMVMC!D16*Pressupostos!$C$15/12</f>
        <v>305943.56</v>
      </c>
      <c r="E11" s="84">
        <f>CMVMC!E16*Pressupostos!$C$15/12</f>
        <v>432379.90536000003</v>
      </c>
      <c r="F11" s="84">
        <f>CMVMC!F16*Pressupostos!$C$15/12</f>
        <v>611461.56208176014</v>
      </c>
      <c r="G11" s="84">
        <f>CMVMC!G16*Pressupostos!$C$15/12</f>
        <v>865241.68453665718</v>
      </c>
      <c r="H11" s="84">
        <f>CMVMC!H16*Pressupostos!$C$15/12</f>
        <v>1225056.0104884026</v>
      </c>
    </row>
    <row r="12" spans="1:8">
      <c r="A12" s="49" t="s">
        <v>34</v>
      </c>
      <c r="B12" s="112"/>
      <c r="C12" s="84">
        <f t="shared" ref="C12:H12" si="0">IF(C30&lt;0,-C30,0)+IF(C31&lt;0,-C31,0)+IF(C32&lt;0,-C32,0)</f>
        <v>0</v>
      </c>
      <c r="D12" s="84">
        <f t="shared" si="0"/>
        <v>0</v>
      </c>
      <c r="E12" s="84">
        <f t="shared" si="0"/>
        <v>0</v>
      </c>
      <c r="F12" s="84">
        <f t="shared" si="0"/>
        <v>0</v>
      </c>
      <c r="G12" s="84">
        <f t="shared" si="0"/>
        <v>0</v>
      </c>
      <c r="H12" s="84">
        <f t="shared" si="0"/>
        <v>0</v>
      </c>
    </row>
    <row r="13" spans="1:8">
      <c r="A13" s="600" t="s">
        <v>99</v>
      </c>
      <c r="B13" s="601"/>
      <c r="C13" s="32"/>
      <c r="D13" s="32"/>
      <c r="E13" s="32"/>
      <c r="F13" s="32"/>
      <c r="G13" s="32"/>
      <c r="H13" s="32"/>
    </row>
    <row r="14" spans="1:8">
      <c r="A14" s="600" t="s">
        <v>99</v>
      </c>
      <c r="B14" s="601"/>
      <c r="C14" s="32"/>
      <c r="D14" s="32"/>
      <c r="E14" s="32"/>
      <c r="F14" s="32"/>
      <c r="G14" s="32"/>
      <c r="H14" s="32"/>
    </row>
    <row r="15" spans="1:8">
      <c r="A15" s="597" t="s">
        <v>31</v>
      </c>
      <c r="B15" s="598"/>
      <c r="C15" s="114">
        <f t="shared" ref="C15:H15" si="1">SUM(C9:C14)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</row>
    <row r="16" spans="1:8">
      <c r="A16" s="74" t="s">
        <v>57</v>
      </c>
      <c r="B16" s="112"/>
      <c r="C16" s="115"/>
      <c r="D16" s="116"/>
      <c r="E16" s="116"/>
      <c r="F16" s="116"/>
      <c r="G16" s="116"/>
      <c r="H16" s="116"/>
    </row>
    <row r="17" spans="1:8">
      <c r="A17" s="49" t="s">
        <v>11</v>
      </c>
      <c r="B17" s="112"/>
      <c r="C17" s="84">
        <f>(CMVMC!C20+FSE!F53)*Pressupostos!$C$14/12</f>
        <v>123146.09999999999</v>
      </c>
      <c r="D17" s="84">
        <f>(CMVMC!D20+FSE!G53)*Pressupostos!$C$14/12</f>
        <v>169493.97140000001</v>
      </c>
      <c r="E17" s="84">
        <f>(CMVMC!E20+FSE!H53)*Pressupostos!$C$14/12</f>
        <v>234818.47898839999</v>
      </c>
      <c r="F17" s="84">
        <f>(CMVMC!F20+FSE!I53)*Pressupostos!$C$14/12</f>
        <v>327031.71945829847</v>
      </c>
      <c r="G17" s="84">
        <f>(CMVMC!G20+FSE!J53)*Pressupostos!$C$14/12</f>
        <v>457329.37964360463</v>
      </c>
      <c r="H17" s="84">
        <f>(CMVMC!H20+FSE!K53)*Pressupostos!$C$14/12</f>
        <v>641613.55855894764</v>
      </c>
    </row>
    <row r="18" spans="1:8">
      <c r="A18" s="49" t="s">
        <v>34</v>
      </c>
      <c r="B18" s="112"/>
      <c r="C18" s="84">
        <f t="shared" ref="C18:H18" si="2">IF(C30&gt;0,C30,0)+IF(C31&gt;0,C31,0)+IF(C32&gt;0,C32,0)</f>
        <v>54515.549999999996</v>
      </c>
      <c r="D18" s="84">
        <f t="shared" si="2"/>
        <v>86318.305200000003</v>
      </c>
      <c r="E18" s="84">
        <f t="shared" si="2"/>
        <v>118850.30795119998</v>
      </c>
      <c r="F18" s="84">
        <f t="shared" si="2"/>
        <v>161339.48328953123</v>
      </c>
      <c r="G18" s="84">
        <f t="shared" si="2"/>
        <v>213901.88900200804</v>
      </c>
      <c r="H18" s="84">
        <f t="shared" si="2"/>
        <v>284261.62152235582</v>
      </c>
    </row>
    <row r="19" spans="1:8">
      <c r="A19" s="600" t="s">
        <v>99</v>
      </c>
      <c r="B19" s="601"/>
      <c r="C19" s="33"/>
      <c r="D19" s="33"/>
      <c r="E19" s="33"/>
      <c r="F19" s="33"/>
      <c r="G19" s="33"/>
      <c r="H19" s="33"/>
    </row>
    <row r="20" spans="1:8" ht="10.8" thickBot="1">
      <c r="A20" s="586" t="s">
        <v>31</v>
      </c>
      <c r="B20" s="587"/>
      <c r="C20" s="117">
        <f t="shared" ref="C20:H20" si="3">+SUM(C17:C19)</f>
        <v>177661.65</v>
      </c>
      <c r="D20" s="117">
        <f t="shared" si="3"/>
        <v>255812.27660000001</v>
      </c>
      <c r="E20" s="117">
        <f t="shared" si="3"/>
        <v>353668.78693959996</v>
      </c>
      <c r="F20" s="117">
        <f t="shared" si="3"/>
        <v>488371.20274782972</v>
      </c>
      <c r="G20" s="117">
        <f t="shared" si="3"/>
        <v>671231.26864561264</v>
      </c>
      <c r="H20" s="117">
        <f t="shared" si="3"/>
        <v>925875.18008130346</v>
      </c>
    </row>
    <row r="21" spans="1:8" ht="10.8" thickTop="1">
      <c r="A21" s="69"/>
      <c r="B21" s="88"/>
      <c r="C21" s="118"/>
      <c r="D21" s="119"/>
      <c r="E21" s="119"/>
      <c r="F21" s="119"/>
      <c r="G21" s="119"/>
      <c r="H21" s="119"/>
    </row>
    <row r="22" spans="1:8" ht="10.8" thickBot="1">
      <c r="A22" s="120" t="s">
        <v>117</v>
      </c>
      <c r="B22" s="121"/>
      <c r="C22" s="117">
        <f t="shared" ref="C22:H22" si="4">+C15-C20</f>
        <v>348512.85</v>
      </c>
      <c r="D22" s="117">
        <f t="shared" si="4"/>
        <v>472334.50040000002</v>
      </c>
      <c r="E22" s="117">
        <f t="shared" si="4"/>
        <v>658107.19096240005</v>
      </c>
      <c r="F22" s="117">
        <f t="shared" si="4"/>
        <v>922283.43269902258</v>
      </c>
      <c r="G22" s="117">
        <f t="shared" si="4"/>
        <v>1300840.5459094001</v>
      </c>
      <c r="H22" s="117">
        <f t="shared" si="4"/>
        <v>1837088.5100282335</v>
      </c>
    </row>
    <row r="23" spans="1:8" ht="10.8" thickTop="1">
      <c r="A23" s="122"/>
      <c r="B23" s="123"/>
      <c r="C23" s="118"/>
      <c r="D23" s="119"/>
      <c r="E23" s="119"/>
      <c r="F23" s="119"/>
      <c r="G23" s="119"/>
      <c r="H23" s="119"/>
    </row>
    <row r="24" spans="1:8" ht="10.8" thickBot="1">
      <c r="A24" s="120" t="s">
        <v>58</v>
      </c>
      <c r="B24" s="121"/>
      <c r="C24" s="117">
        <f>+C22</f>
        <v>348512.85</v>
      </c>
      <c r="D24" s="117">
        <f>+D22-C22</f>
        <v>123821.65040000004</v>
      </c>
      <c r="E24" s="117">
        <f>+E22-D22</f>
        <v>185772.69056240004</v>
      </c>
      <c r="F24" s="117">
        <f>+F22-E22</f>
        <v>264176.24173662253</v>
      </c>
      <c r="G24" s="117">
        <f>+G22-F22</f>
        <v>378557.11321037752</v>
      </c>
      <c r="H24" s="117">
        <f>+H22-G22</f>
        <v>536247.96411883342</v>
      </c>
    </row>
    <row r="25" spans="1:8" ht="10.8" thickTop="1">
      <c r="A25" s="69"/>
      <c r="B25" s="88"/>
      <c r="C25" s="81"/>
      <c r="D25" s="48"/>
      <c r="E25" s="48"/>
      <c r="F25" s="48"/>
      <c r="G25" s="48"/>
      <c r="H25" s="48"/>
    </row>
    <row r="26" spans="1:8">
      <c r="A26" s="124" t="s">
        <v>118</v>
      </c>
      <c r="B26" s="88"/>
      <c r="C26" s="81"/>
      <c r="D26" s="48"/>
      <c r="E26" s="48"/>
      <c r="F26" s="48"/>
      <c r="G26" s="48"/>
      <c r="H26" s="48"/>
    </row>
    <row r="27" spans="1:8">
      <c r="A27" s="48"/>
      <c r="B27" s="48"/>
      <c r="C27" s="48"/>
      <c r="D27" s="48"/>
      <c r="E27" s="125"/>
      <c r="F27" s="48"/>
      <c r="G27" s="48"/>
      <c r="H27" s="48"/>
    </row>
    <row r="28" spans="1:8">
      <c r="C28" s="126"/>
      <c r="D28" s="126"/>
      <c r="E28" s="126"/>
      <c r="F28" s="126"/>
      <c r="G28" s="126"/>
      <c r="H28" s="126"/>
    </row>
    <row r="29" spans="1:8">
      <c r="A29" s="236" t="s">
        <v>135</v>
      </c>
      <c r="B29" s="238"/>
      <c r="C29" s="239">
        <f t="shared" ref="C29:H29" si="5">+SUM(C30:C32)</f>
        <v>54515.549999999996</v>
      </c>
      <c r="D29" s="239">
        <f t="shared" si="5"/>
        <v>86318.305200000003</v>
      </c>
      <c r="E29" s="239">
        <f t="shared" si="5"/>
        <v>118850.30795119998</v>
      </c>
      <c r="F29" s="239">
        <f t="shared" si="5"/>
        <v>161339.48328953123</v>
      </c>
      <c r="G29" s="239">
        <f t="shared" si="5"/>
        <v>213901.88900200804</v>
      </c>
      <c r="H29" s="239">
        <f t="shared" si="5"/>
        <v>284261.62152235582</v>
      </c>
    </row>
    <row r="30" spans="1:8">
      <c r="A30" s="237" t="s">
        <v>136</v>
      </c>
      <c r="B30" s="238"/>
      <c r="C30" s="353">
        <f>IF('Gastos com Pessoal'!D$7=0, 0,('Gastos com Pessoal'!D99+'Gastos com Pessoal'!D100+'Gastos com Pessoal'!D71+'Gastos com Pessoal'!D72)/'Gastos com Pessoal'!D$7)</f>
        <v>2536.75</v>
      </c>
      <c r="D30" s="240">
        <f>IF('Gastos com Pessoal'!E$7=0,0,('Gastos com Pessoal'!E99+'Gastos com Pessoal'!E100+'Gastos com Pessoal'!E71+'Gastos com Pessoal'!E72)/'Gastos com Pessoal'!E$7)</f>
        <v>5351.5</v>
      </c>
      <c r="E30" s="353">
        <f>('Gastos com Pessoal'!F99+'Gastos com Pessoal'!F100+'Gastos com Pessoal'!F71+'Gastos com Pessoal'!F72)/'Gastos com Pessoal'!F$7</f>
        <v>5351.5</v>
      </c>
      <c r="F30" s="240">
        <f>('Gastos com Pessoal'!G99+'Gastos com Pessoal'!G100+'Gastos com Pessoal'!G71+'Gastos com Pessoal'!G72)/'Gastos com Pessoal'!G$7</f>
        <v>5768.5</v>
      </c>
      <c r="G30" s="240">
        <f>('Gastos com Pessoal'!H99+'Gastos com Pessoal'!H100+'Gastos com Pessoal'!H71+'Gastos com Pessoal'!H72)/'Gastos com Pessoal'!H$7</f>
        <v>5768.5</v>
      </c>
      <c r="H30" s="240">
        <f>('Gastos com Pessoal'!I99+'Gastos com Pessoal'!I100+'Gastos com Pessoal'!I71+'Gastos com Pessoal'!I72)/'Gastos com Pessoal'!I$7</f>
        <v>6185.5</v>
      </c>
    </row>
    <row r="31" spans="1:8">
      <c r="A31" s="237" t="s">
        <v>137</v>
      </c>
      <c r="B31" s="238"/>
      <c r="C31" s="240">
        <f>IF('Gastos com Pessoal'!D7=0,0,'Gastos com Pessoal'!D101/'Gastos com Pessoal'!D7)</f>
        <v>1095</v>
      </c>
      <c r="D31" s="240">
        <f>IF('Gastos com Pessoal'!E7=0,0,'Gastos com Pessoal'!E101/'Gastos com Pessoal'!E7)</f>
        <v>2310</v>
      </c>
      <c r="E31" s="240">
        <f>'Gastos com Pessoal'!F101/'Gastos com Pessoal'!F7</f>
        <v>2310</v>
      </c>
      <c r="F31" s="240">
        <f>'Gastos com Pessoal'!G101/'Gastos com Pessoal'!G7</f>
        <v>2490</v>
      </c>
      <c r="G31" s="240">
        <f>'Gastos com Pessoal'!H101/'Gastos com Pessoal'!H7</f>
        <v>2490</v>
      </c>
      <c r="H31" s="240">
        <f>'Gastos com Pessoal'!I101/'Gastos com Pessoal'!I7</f>
        <v>2670</v>
      </c>
    </row>
    <row r="32" spans="1:8">
      <c r="A32" s="237" t="s">
        <v>43</v>
      </c>
      <c r="B32" s="238"/>
      <c r="C32" s="240">
        <f>(VN!C82-CMVMC!C18-FSE!F51-Investimento!C33)/Pressupostos!$C$16</f>
        <v>50883.799999999996</v>
      </c>
      <c r="D32" s="240">
        <f>(VN!D82-CMVMC!D18-FSE!G51-Investimento!D33)/Pressupostos!$C$16</f>
        <v>78656.805200000003</v>
      </c>
      <c r="E32" s="240">
        <f>(VN!E82-CMVMC!E18-FSE!H51-Investimento!E33)/Pressupostos!$C$16</f>
        <v>111188.80795119998</v>
      </c>
      <c r="F32" s="240">
        <f>(VN!F82-CMVMC!F18-FSE!I51-Investimento!F33)/Pressupostos!$C$16</f>
        <v>153080.98328953123</v>
      </c>
      <c r="G32" s="240">
        <f>(VN!G82-CMVMC!G18-FSE!J51-Investimento!G33)/Pressupostos!$C$16</f>
        <v>205643.38900200804</v>
      </c>
      <c r="H32" s="240">
        <f>(VN!H82-CMVMC!H18-FSE!K51-Investimento!H33)/Pressupostos!$C$16</f>
        <v>275406.12152235582</v>
      </c>
    </row>
    <row r="33" spans="5:5">
      <c r="E33" s="126"/>
    </row>
    <row r="34" spans="5:5">
      <c r="E34" s="126"/>
    </row>
    <row r="35" spans="5:5">
      <c r="E35" s="126"/>
    </row>
    <row r="36" spans="5:5">
      <c r="E36" s="126"/>
    </row>
    <row r="37" spans="5:5">
      <c r="E37" s="126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D527-201F-4F23-A0B1-E7CDBEAC8A62}">
  <sheetPr codeName="Folha3"/>
  <dimension ref="A1:H182"/>
  <sheetViews>
    <sheetView showGridLines="0" showZeros="0" zoomScaleNormal="100" workbookViewId="0">
      <selection activeCell="E25" sqref="E25"/>
    </sheetView>
  </sheetViews>
  <sheetFormatPr defaultColWidth="8.6640625" defaultRowHeight="10.199999999999999"/>
  <cols>
    <col min="1" max="1" width="35.6640625" style="128" customWidth="1"/>
    <col min="2" max="2" width="8.6640625" style="128" customWidth="1"/>
    <col min="3" max="8" width="9.6640625" style="128" customWidth="1"/>
    <col min="9" max="9" width="3.44140625" style="128" customWidth="1"/>
    <col min="10" max="10" width="2.6640625" style="128" customWidth="1"/>
    <col min="11" max="16384" width="8.6640625" style="128"/>
  </cols>
  <sheetData>
    <row r="1" spans="1:8" s="56" customFormat="1" ht="13.8">
      <c r="A1" s="48"/>
      <c r="B1" s="48"/>
      <c r="C1" s="40"/>
      <c r="D1" s="40"/>
      <c r="E1" s="40"/>
      <c r="F1" s="40"/>
      <c r="G1" s="420" t="s">
        <v>44</v>
      </c>
      <c r="H1" s="421" t="str">
        <f>+Pressupostos!E1</f>
        <v>Flexible Energies</v>
      </c>
    </row>
    <row r="2" spans="1:8" s="56" customFormat="1">
      <c r="A2" s="42"/>
      <c r="B2" s="40"/>
      <c r="C2" s="40"/>
      <c r="D2" s="40"/>
      <c r="E2" s="40"/>
      <c r="F2" s="40"/>
      <c r="G2" s="48"/>
      <c r="H2" s="43" t="str">
        <f>+Pressupostos!B9</f>
        <v>Euros</v>
      </c>
    </row>
    <row r="3" spans="1:8" s="56" customFormat="1">
      <c r="A3" s="42"/>
      <c r="B3" s="40"/>
      <c r="C3" s="40"/>
      <c r="D3" s="40"/>
      <c r="E3" s="40"/>
      <c r="F3" s="40"/>
      <c r="G3" s="48"/>
      <c r="H3" s="43"/>
    </row>
    <row r="4" spans="1:8" s="56" customFormat="1" ht="15.6">
      <c r="A4" s="576" t="s">
        <v>37</v>
      </c>
      <c r="B4" s="576"/>
      <c r="C4" s="576"/>
      <c r="D4" s="576"/>
      <c r="E4" s="576"/>
      <c r="F4" s="576"/>
      <c r="G4" s="576"/>
      <c r="H4" s="576"/>
    </row>
    <row r="5" spans="1:8">
      <c r="A5" s="127"/>
      <c r="B5" s="127"/>
      <c r="C5" s="127"/>
      <c r="D5" s="127"/>
      <c r="E5" s="127"/>
      <c r="F5" s="127"/>
      <c r="G5" s="127"/>
      <c r="H5" s="127"/>
    </row>
    <row r="6" spans="1:8">
      <c r="A6" s="129"/>
      <c r="B6" s="129"/>
      <c r="C6" s="130"/>
      <c r="D6" s="130"/>
      <c r="E6" s="130"/>
      <c r="F6" s="130"/>
      <c r="G6" s="130"/>
      <c r="H6" s="130"/>
    </row>
    <row r="7" spans="1:8">
      <c r="A7" s="611" t="s">
        <v>366</v>
      </c>
      <c r="B7" s="611"/>
      <c r="C7" s="131">
        <f>+VN!C8</f>
        <v>2025</v>
      </c>
      <c r="D7" s="131">
        <f>+VN!D8</f>
        <v>2026</v>
      </c>
      <c r="E7" s="131">
        <f>+VN!E8</f>
        <v>2027</v>
      </c>
      <c r="F7" s="131">
        <f>+VN!F8</f>
        <v>2028</v>
      </c>
      <c r="G7" s="131">
        <f>+VN!G8</f>
        <v>2029</v>
      </c>
      <c r="H7" s="131">
        <f>+VN!H8</f>
        <v>2030</v>
      </c>
    </row>
    <row r="8" spans="1:8">
      <c r="A8" s="132" t="s">
        <v>367</v>
      </c>
      <c r="B8" s="146"/>
      <c r="C8" s="131"/>
      <c r="D8" s="131"/>
      <c r="E8" s="131"/>
      <c r="F8" s="131"/>
      <c r="G8" s="131"/>
      <c r="H8" s="131"/>
    </row>
    <row r="9" spans="1:8">
      <c r="A9" s="244" t="s">
        <v>368</v>
      </c>
      <c r="B9" s="146"/>
      <c r="C9" s="36"/>
      <c r="D9" s="36"/>
      <c r="E9" s="36"/>
      <c r="F9" s="36"/>
      <c r="G9" s="36"/>
      <c r="H9" s="36"/>
    </row>
    <row r="10" spans="1:8">
      <c r="A10" s="244" t="s">
        <v>369</v>
      </c>
      <c r="B10" s="146"/>
      <c r="C10" s="36">
        <v>100000</v>
      </c>
      <c r="D10" s="36">
        <v>50000</v>
      </c>
      <c r="E10" s="36"/>
      <c r="F10" s="36"/>
      <c r="G10" s="36"/>
      <c r="H10" s="36"/>
    </row>
    <row r="11" spans="1:8">
      <c r="A11" s="244" t="s">
        <v>370</v>
      </c>
      <c r="B11" s="146"/>
      <c r="C11" s="36"/>
      <c r="D11" s="36"/>
      <c r="E11" s="36"/>
      <c r="F11" s="36"/>
      <c r="G11" s="36"/>
      <c r="H11" s="36"/>
    </row>
    <row r="12" spans="1:8">
      <c r="A12" s="609" t="s">
        <v>371</v>
      </c>
      <c r="B12" s="610"/>
      <c r="C12" s="248">
        <f t="shared" ref="C12:H12" si="0">+SUM(C9:C11)</f>
        <v>100000</v>
      </c>
      <c r="D12" s="248">
        <f>+SUM(D9:D11)</f>
        <v>50000</v>
      </c>
      <c r="E12" s="248">
        <f t="shared" si="0"/>
        <v>0</v>
      </c>
      <c r="F12" s="248">
        <f t="shared" si="0"/>
        <v>0</v>
      </c>
      <c r="G12" s="248">
        <f t="shared" si="0"/>
        <v>0</v>
      </c>
      <c r="H12" s="248">
        <f t="shared" si="0"/>
        <v>0</v>
      </c>
    </row>
    <row r="13" spans="1:8">
      <c r="A13" s="132" t="s">
        <v>372</v>
      </c>
      <c r="B13" s="133"/>
      <c r="C13" s="135"/>
      <c r="D13" s="135"/>
      <c r="E13" s="135"/>
      <c r="F13" s="135"/>
      <c r="G13" s="135"/>
      <c r="H13" s="135"/>
    </row>
    <row r="14" spans="1:8">
      <c r="A14" s="244" t="s">
        <v>368</v>
      </c>
      <c r="B14" s="133"/>
      <c r="C14" s="36"/>
      <c r="D14" s="36"/>
      <c r="E14" s="36"/>
      <c r="F14" s="36"/>
      <c r="G14" s="36"/>
      <c r="H14" s="36"/>
    </row>
    <row r="15" spans="1:8">
      <c r="A15" s="244" t="s">
        <v>369</v>
      </c>
      <c r="B15" s="133"/>
      <c r="C15" s="36"/>
      <c r="D15" s="36"/>
      <c r="E15" s="36"/>
      <c r="F15" s="36"/>
      <c r="G15" s="36"/>
      <c r="H15" s="36"/>
    </row>
    <row r="16" spans="1:8">
      <c r="A16" s="244" t="s">
        <v>373</v>
      </c>
      <c r="B16" s="133"/>
      <c r="C16" s="36">
        <v>40000</v>
      </c>
      <c r="D16" s="36">
        <v>20000</v>
      </c>
      <c r="E16" s="36">
        <v>10000</v>
      </c>
      <c r="F16" s="36"/>
      <c r="G16" s="36"/>
      <c r="H16" s="36"/>
    </row>
    <row r="17" spans="1:8">
      <c r="A17" s="244" t="s">
        <v>374</v>
      </c>
      <c r="B17" s="133"/>
      <c r="C17" s="36"/>
      <c r="D17" s="36"/>
      <c r="E17" s="36"/>
      <c r="F17" s="36"/>
      <c r="G17" s="36"/>
      <c r="H17" s="36"/>
    </row>
    <row r="18" spans="1:8">
      <c r="A18" s="244" t="s">
        <v>375</v>
      </c>
      <c r="B18" s="133"/>
      <c r="C18" s="36"/>
      <c r="D18" s="36"/>
      <c r="E18" s="36"/>
      <c r="F18" s="36"/>
      <c r="G18" s="36"/>
      <c r="H18" s="36"/>
    </row>
    <row r="19" spans="1:8">
      <c r="A19" s="244" t="s">
        <v>376</v>
      </c>
      <c r="B19" s="133"/>
      <c r="C19" s="36"/>
      <c r="D19" s="36"/>
      <c r="E19" s="36"/>
      <c r="F19" s="36"/>
      <c r="G19" s="36"/>
      <c r="H19" s="36"/>
    </row>
    <row r="20" spans="1:8">
      <c r="A20" s="244" t="s">
        <v>377</v>
      </c>
      <c r="B20" s="133"/>
      <c r="C20" s="36"/>
      <c r="D20" s="36"/>
      <c r="E20" s="36"/>
      <c r="F20" s="36"/>
      <c r="G20" s="36"/>
      <c r="H20" s="36"/>
    </row>
    <row r="21" spans="1:8">
      <c r="A21" s="605" t="s">
        <v>271</v>
      </c>
      <c r="B21" s="606"/>
      <c r="C21" s="136">
        <f t="shared" ref="C21:H21" si="1">+SUM(C14:C20)</f>
        <v>40000</v>
      </c>
      <c r="D21" s="136">
        <f>+SUM(D14:D20)</f>
        <v>20000</v>
      </c>
      <c r="E21" s="136">
        <f t="shared" si="1"/>
        <v>10000</v>
      </c>
      <c r="F21" s="136">
        <f t="shared" si="1"/>
        <v>0</v>
      </c>
      <c r="G21" s="136">
        <f t="shared" si="1"/>
        <v>0</v>
      </c>
      <c r="H21" s="136">
        <f t="shared" si="1"/>
        <v>0</v>
      </c>
    </row>
    <row r="22" spans="1:8">
      <c r="A22" s="132" t="s">
        <v>272</v>
      </c>
      <c r="B22" s="133"/>
      <c r="C22" s="144"/>
      <c r="D22" s="144"/>
      <c r="E22" s="144"/>
      <c r="F22" s="144"/>
      <c r="G22" s="144"/>
      <c r="H22" s="144"/>
    </row>
    <row r="23" spans="1:8">
      <c r="A23" s="244" t="s">
        <v>159</v>
      </c>
      <c r="B23" s="133"/>
      <c r="C23" s="36"/>
      <c r="D23" s="36"/>
      <c r="E23" s="36"/>
      <c r="F23" s="36"/>
      <c r="G23" s="36"/>
      <c r="H23" s="36"/>
    </row>
    <row r="24" spans="1:8">
      <c r="A24" s="244" t="s">
        <v>378</v>
      </c>
      <c r="B24" s="133"/>
      <c r="C24" s="36"/>
      <c r="D24" s="36"/>
      <c r="E24" s="36"/>
      <c r="F24" s="36"/>
      <c r="G24" s="36"/>
      <c r="H24" s="36"/>
    </row>
    <row r="25" spans="1:8">
      <c r="A25" s="244" t="s">
        <v>379</v>
      </c>
      <c r="B25" s="133"/>
      <c r="C25" s="36">
        <v>5000</v>
      </c>
      <c r="D25" s="36">
        <v>2000</v>
      </c>
      <c r="E25" s="36"/>
      <c r="F25" s="36"/>
      <c r="G25" s="36"/>
      <c r="H25" s="36"/>
    </row>
    <row r="26" spans="1:8">
      <c r="A26" s="244" t="s">
        <v>380</v>
      </c>
      <c r="B26" s="133"/>
      <c r="C26" s="36"/>
      <c r="D26" s="36"/>
      <c r="E26" s="36"/>
      <c r="F26" s="36"/>
      <c r="G26" s="36"/>
      <c r="H26" s="36"/>
    </row>
    <row r="27" spans="1:8">
      <c r="A27" s="244" t="s">
        <v>381</v>
      </c>
      <c r="B27" s="133"/>
      <c r="C27" s="36"/>
      <c r="D27" s="36"/>
      <c r="E27" s="36"/>
      <c r="F27" s="36"/>
      <c r="G27" s="36"/>
      <c r="H27" s="36"/>
    </row>
    <row r="28" spans="1:8">
      <c r="A28" s="605" t="s">
        <v>273</v>
      </c>
      <c r="B28" s="606"/>
      <c r="C28" s="136">
        <f t="shared" ref="C28:H28" si="2">+SUM(C23:C27)</f>
        <v>5000</v>
      </c>
      <c r="D28" s="136">
        <f t="shared" si="2"/>
        <v>2000</v>
      </c>
      <c r="E28" s="136">
        <f t="shared" si="2"/>
        <v>0</v>
      </c>
      <c r="F28" s="136">
        <f t="shared" si="2"/>
        <v>0</v>
      </c>
      <c r="G28" s="136">
        <f t="shared" si="2"/>
        <v>0</v>
      </c>
      <c r="H28" s="136">
        <f t="shared" si="2"/>
        <v>0</v>
      </c>
    </row>
    <row r="29" spans="1:8" ht="10.8" thickBot="1">
      <c r="A29" s="614" t="s">
        <v>130</v>
      </c>
      <c r="B29" s="614"/>
      <c r="C29" s="137">
        <f t="shared" ref="C29:H29" si="3">+C12+C21+C28</f>
        <v>145000</v>
      </c>
      <c r="D29" s="137">
        <f t="shared" si="3"/>
        <v>72000</v>
      </c>
      <c r="E29" s="137">
        <f t="shared" si="3"/>
        <v>10000</v>
      </c>
      <c r="F29" s="137">
        <f t="shared" si="3"/>
        <v>0</v>
      </c>
      <c r="G29" s="137">
        <f t="shared" si="3"/>
        <v>0</v>
      </c>
      <c r="H29" s="137">
        <f t="shared" si="3"/>
        <v>0</v>
      </c>
    </row>
    <row r="30" spans="1:8" ht="10.8" thickTop="1">
      <c r="A30" s="138"/>
      <c r="B30" s="138"/>
      <c r="C30" s="139"/>
      <c r="D30" s="139"/>
      <c r="E30" s="139"/>
      <c r="F30" s="139"/>
      <c r="G30" s="139"/>
      <c r="H30" s="139"/>
    </row>
    <row r="31" spans="1:8" ht="13.2">
      <c r="A31" s="619" t="s">
        <v>496</v>
      </c>
      <c r="B31" s="620"/>
      <c r="C31" s="436">
        <f>+'Gastos com Pessoal'!D9</f>
        <v>12</v>
      </c>
      <c r="D31" s="436">
        <f>+'Gastos com Pessoal'!E9</f>
        <v>12</v>
      </c>
      <c r="E31" s="436">
        <f>+'Gastos com Pessoal'!F9</f>
        <v>12</v>
      </c>
      <c r="F31" s="436">
        <f>+'Gastos com Pessoal'!G9</f>
        <v>12</v>
      </c>
      <c r="G31" s="436">
        <f>+'Gastos com Pessoal'!H9</f>
        <v>12</v>
      </c>
      <c r="H31" s="436">
        <f>+'Gastos com Pessoal'!I9</f>
        <v>12</v>
      </c>
    </row>
    <row r="32" spans="1:8">
      <c r="A32" s="142"/>
      <c r="B32" s="142"/>
      <c r="C32" s="143"/>
      <c r="D32" s="143"/>
      <c r="E32" s="143"/>
      <c r="F32" s="143"/>
      <c r="G32" s="143"/>
      <c r="H32" s="143"/>
    </row>
    <row r="33" spans="1:8" ht="10.8" thickBot="1">
      <c r="A33" s="140" t="s">
        <v>43</v>
      </c>
      <c r="B33" s="235">
        <f>+Pressupostos!B22</f>
        <v>0.23</v>
      </c>
      <c r="C33" s="137">
        <f t="shared" ref="C33:H33" si="4">+$B$33*(C16+C18+C20+C25)</f>
        <v>10350</v>
      </c>
      <c r="D33" s="137">
        <f t="shared" si="4"/>
        <v>5060</v>
      </c>
      <c r="E33" s="137">
        <f t="shared" si="4"/>
        <v>2300</v>
      </c>
      <c r="F33" s="137">
        <f t="shared" si="4"/>
        <v>0</v>
      </c>
      <c r="G33" s="137">
        <f t="shared" si="4"/>
        <v>0</v>
      </c>
      <c r="H33" s="137">
        <f t="shared" si="4"/>
        <v>0</v>
      </c>
    </row>
    <row r="34" spans="1:8" ht="10.8" thickTop="1">
      <c r="A34" s="141"/>
      <c r="B34" s="142"/>
      <c r="C34" s="143"/>
      <c r="D34" s="143"/>
      <c r="E34" s="143"/>
      <c r="F34" s="143"/>
      <c r="G34" s="143"/>
      <c r="H34" s="143"/>
    </row>
    <row r="35" spans="1:8">
      <c r="A35" s="611" t="s">
        <v>183</v>
      </c>
      <c r="B35" s="611"/>
      <c r="C35" s="131">
        <f t="shared" ref="C35:H35" si="5">+C7</f>
        <v>2025</v>
      </c>
      <c r="D35" s="131">
        <f t="shared" si="5"/>
        <v>2026</v>
      </c>
      <c r="E35" s="131">
        <f t="shared" si="5"/>
        <v>2027</v>
      </c>
      <c r="F35" s="131">
        <f t="shared" si="5"/>
        <v>2028</v>
      </c>
      <c r="G35" s="131">
        <f t="shared" si="5"/>
        <v>2029</v>
      </c>
      <c r="H35" s="131">
        <f t="shared" si="5"/>
        <v>2030</v>
      </c>
    </row>
    <row r="36" spans="1:8">
      <c r="A36" s="132" t="s">
        <v>367</v>
      </c>
      <c r="B36" s="146"/>
      <c r="C36" s="249"/>
      <c r="D36" s="249"/>
      <c r="E36" s="249"/>
      <c r="F36" s="249"/>
      <c r="G36" s="249"/>
      <c r="H36" s="249"/>
    </row>
    <row r="37" spans="1:8">
      <c r="A37" s="244" t="s">
        <v>368</v>
      </c>
      <c r="B37" s="146"/>
      <c r="C37" s="247">
        <f>+C9</f>
        <v>0</v>
      </c>
      <c r="D37" s="247">
        <f t="shared" ref="D37:H39" si="6">+C37+D9</f>
        <v>0</v>
      </c>
      <c r="E37" s="247">
        <f t="shared" si="6"/>
        <v>0</v>
      </c>
      <c r="F37" s="247">
        <f t="shared" si="6"/>
        <v>0</v>
      </c>
      <c r="G37" s="247">
        <f t="shared" si="6"/>
        <v>0</v>
      </c>
      <c r="H37" s="247">
        <f t="shared" si="6"/>
        <v>0</v>
      </c>
    </row>
    <row r="38" spans="1:8">
      <c r="A38" s="244" t="s">
        <v>369</v>
      </c>
      <c r="B38" s="146"/>
      <c r="C38" s="247">
        <f>+C10</f>
        <v>100000</v>
      </c>
      <c r="D38" s="247">
        <f t="shared" si="6"/>
        <v>150000</v>
      </c>
      <c r="E38" s="247">
        <f t="shared" si="6"/>
        <v>150000</v>
      </c>
      <c r="F38" s="247">
        <f t="shared" si="6"/>
        <v>150000</v>
      </c>
      <c r="G38" s="247">
        <f t="shared" si="6"/>
        <v>150000</v>
      </c>
      <c r="H38" s="247">
        <f t="shared" si="6"/>
        <v>150000</v>
      </c>
    </row>
    <row r="39" spans="1:8">
      <c r="A39" s="244" t="s">
        <v>370</v>
      </c>
      <c r="B39" s="146"/>
      <c r="C39" s="247">
        <f>+C11</f>
        <v>0</v>
      </c>
      <c r="D39" s="247">
        <f t="shared" si="6"/>
        <v>0</v>
      </c>
      <c r="E39" s="247">
        <f t="shared" si="6"/>
        <v>0</v>
      </c>
      <c r="F39" s="247">
        <f t="shared" si="6"/>
        <v>0</v>
      </c>
      <c r="G39" s="247">
        <f t="shared" si="6"/>
        <v>0</v>
      </c>
      <c r="H39" s="247">
        <f t="shared" si="6"/>
        <v>0</v>
      </c>
    </row>
    <row r="40" spans="1:8">
      <c r="A40" s="609" t="s">
        <v>371</v>
      </c>
      <c r="B40" s="610"/>
      <c r="C40" s="246">
        <f t="shared" ref="C40:H40" si="7">+SUM(C37:C39)</f>
        <v>100000</v>
      </c>
      <c r="D40" s="246">
        <f t="shared" si="7"/>
        <v>150000</v>
      </c>
      <c r="E40" s="246">
        <f t="shared" si="7"/>
        <v>150000</v>
      </c>
      <c r="F40" s="246">
        <f t="shared" si="7"/>
        <v>150000</v>
      </c>
      <c r="G40" s="246">
        <f t="shared" si="7"/>
        <v>150000</v>
      </c>
      <c r="H40" s="246">
        <f t="shared" si="7"/>
        <v>150000</v>
      </c>
    </row>
    <row r="41" spans="1:8">
      <c r="A41" s="132" t="s">
        <v>372</v>
      </c>
      <c r="B41" s="133"/>
      <c r="C41" s="246"/>
      <c r="D41" s="246"/>
      <c r="E41" s="246"/>
      <c r="F41" s="246"/>
      <c r="G41" s="246"/>
      <c r="H41" s="246"/>
    </row>
    <row r="42" spans="1:8">
      <c r="A42" s="134" t="s">
        <v>382</v>
      </c>
      <c r="B42" s="133"/>
      <c r="C42" s="248">
        <f t="shared" ref="C42:C48" si="8">+C14</f>
        <v>0</v>
      </c>
      <c r="D42" s="356">
        <f t="shared" ref="D42:H48" si="9">+C42+D14</f>
        <v>0</v>
      </c>
      <c r="E42" s="356">
        <f t="shared" si="9"/>
        <v>0</v>
      </c>
      <c r="F42" s="356">
        <f t="shared" si="9"/>
        <v>0</v>
      </c>
      <c r="G42" s="356">
        <f t="shared" si="9"/>
        <v>0</v>
      </c>
      <c r="H42" s="356">
        <f t="shared" si="9"/>
        <v>0</v>
      </c>
    </row>
    <row r="43" spans="1:8">
      <c r="A43" s="134" t="s">
        <v>383</v>
      </c>
      <c r="B43" s="133"/>
      <c r="C43" s="248">
        <f t="shared" si="8"/>
        <v>0</v>
      </c>
      <c r="D43" s="356">
        <f t="shared" si="9"/>
        <v>0</v>
      </c>
      <c r="E43" s="356">
        <f t="shared" si="9"/>
        <v>0</v>
      </c>
      <c r="F43" s="356">
        <f t="shared" si="9"/>
        <v>0</v>
      </c>
      <c r="G43" s="356">
        <f t="shared" si="9"/>
        <v>0</v>
      </c>
      <c r="H43" s="356">
        <f t="shared" si="9"/>
        <v>0</v>
      </c>
    </row>
    <row r="44" spans="1:8">
      <c r="A44" s="134" t="s">
        <v>384</v>
      </c>
      <c r="B44" s="133"/>
      <c r="C44" s="248">
        <f t="shared" si="8"/>
        <v>40000</v>
      </c>
      <c r="D44" s="356">
        <f t="shared" si="9"/>
        <v>60000</v>
      </c>
      <c r="E44" s="356">
        <f t="shared" si="9"/>
        <v>70000</v>
      </c>
      <c r="F44" s="356">
        <f t="shared" si="9"/>
        <v>70000</v>
      </c>
      <c r="G44" s="356">
        <f t="shared" si="9"/>
        <v>70000</v>
      </c>
      <c r="H44" s="356">
        <f t="shared" si="9"/>
        <v>70000</v>
      </c>
    </row>
    <row r="45" spans="1:8">
      <c r="A45" s="134" t="s">
        <v>385</v>
      </c>
      <c r="B45" s="133"/>
      <c r="C45" s="248">
        <f t="shared" si="8"/>
        <v>0</v>
      </c>
      <c r="D45" s="356">
        <f t="shared" si="9"/>
        <v>0</v>
      </c>
      <c r="E45" s="356">
        <f t="shared" si="9"/>
        <v>0</v>
      </c>
      <c r="F45" s="356">
        <f t="shared" si="9"/>
        <v>0</v>
      </c>
      <c r="G45" s="356">
        <f t="shared" si="9"/>
        <v>0</v>
      </c>
      <c r="H45" s="356">
        <f t="shared" si="9"/>
        <v>0</v>
      </c>
    </row>
    <row r="46" spans="1:8">
      <c r="A46" s="134" t="s">
        <v>386</v>
      </c>
      <c r="B46" s="133"/>
      <c r="C46" s="248">
        <f t="shared" si="8"/>
        <v>0</v>
      </c>
      <c r="D46" s="356">
        <f t="shared" si="9"/>
        <v>0</v>
      </c>
      <c r="E46" s="356">
        <f t="shared" si="9"/>
        <v>0</v>
      </c>
      <c r="F46" s="356">
        <f t="shared" si="9"/>
        <v>0</v>
      </c>
      <c r="G46" s="356">
        <f t="shared" si="9"/>
        <v>0</v>
      </c>
      <c r="H46" s="356">
        <f t="shared" si="9"/>
        <v>0</v>
      </c>
    </row>
    <row r="47" spans="1:8">
      <c r="A47" s="134" t="s">
        <v>387</v>
      </c>
      <c r="B47" s="133"/>
      <c r="C47" s="248">
        <f t="shared" si="8"/>
        <v>0</v>
      </c>
      <c r="D47" s="356">
        <f t="shared" si="9"/>
        <v>0</v>
      </c>
      <c r="E47" s="356">
        <f t="shared" si="9"/>
        <v>0</v>
      </c>
      <c r="F47" s="356">
        <f t="shared" si="9"/>
        <v>0</v>
      </c>
      <c r="G47" s="356">
        <f t="shared" si="9"/>
        <v>0</v>
      </c>
      <c r="H47" s="356">
        <f t="shared" si="9"/>
        <v>0</v>
      </c>
    </row>
    <row r="48" spans="1:8">
      <c r="A48" s="134" t="s">
        <v>388</v>
      </c>
      <c r="B48" s="133"/>
      <c r="C48" s="248">
        <f t="shared" si="8"/>
        <v>0</v>
      </c>
      <c r="D48" s="356">
        <f t="shared" si="9"/>
        <v>0</v>
      </c>
      <c r="E48" s="356">
        <f t="shared" si="9"/>
        <v>0</v>
      </c>
      <c r="F48" s="356">
        <f t="shared" si="9"/>
        <v>0</v>
      </c>
      <c r="G48" s="356">
        <f t="shared" si="9"/>
        <v>0</v>
      </c>
      <c r="H48" s="356">
        <f t="shared" si="9"/>
        <v>0</v>
      </c>
    </row>
    <row r="49" spans="1:8">
      <c r="A49" s="605" t="s">
        <v>271</v>
      </c>
      <c r="B49" s="606"/>
      <c r="C49" s="136">
        <f t="shared" ref="C49:H49" si="10">+SUM(C42:C48)</f>
        <v>40000</v>
      </c>
      <c r="D49" s="136">
        <f t="shared" si="10"/>
        <v>60000</v>
      </c>
      <c r="E49" s="136">
        <f t="shared" si="10"/>
        <v>70000</v>
      </c>
      <c r="F49" s="136">
        <f t="shared" si="10"/>
        <v>70000</v>
      </c>
      <c r="G49" s="136">
        <f t="shared" si="10"/>
        <v>70000</v>
      </c>
      <c r="H49" s="136">
        <f t="shared" si="10"/>
        <v>70000</v>
      </c>
    </row>
    <row r="50" spans="1:8">
      <c r="A50" s="132" t="s">
        <v>272</v>
      </c>
      <c r="B50" s="133"/>
      <c r="C50" s="136"/>
      <c r="D50" s="136"/>
      <c r="E50" s="136"/>
      <c r="F50" s="136"/>
      <c r="G50" s="136"/>
      <c r="H50" s="136"/>
    </row>
    <row r="51" spans="1:8">
      <c r="A51" s="244" t="s">
        <v>159</v>
      </c>
      <c r="B51" s="133"/>
      <c r="C51" s="357">
        <f>+C23</f>
        <v>0</v>
      </c>
      <c r="D51" s="357">
        <f t="shared" ref="D51:H55" si="11">+C51+D23</f>
        <v>0</v>
      </c>
      <c r="E51" s="357">
        <f t="shared" si="11"/>
        <v>0</v>
      </c>
      <c r="F51" s="357">
        <f t="shared" si="11"/>
        <v>0</v>
      </c>
      <c r="G51" s="357">
        <f t="shared" si="11"/>
        <v>0</v>
      </c>
      <c r="H51" s="357">
        <f t="shared" si="11"/>
        <v>0</v>
      </c>
    </row>
    <row r="52" spans="1:8">
      <c r="A52" s="244" t="s">
        <v>378</v>
      </c>
      <c r="B52" s="133"/>
      <c r="C52" s="357">
        <f>+C24</f>
        <v>0</v>
      </c>
      <c r="D52" s="357">
        <f t="shared" si="11"/>
        <v>0</v>
      </c>
      <c r="E52" s="357">
        <f t="shared" si="11"/>
        <v>0</v>
      </c>
      <c r="F52" s="357">
        <f t="shared" si="11"/>
        <v>0</v>
      </c>
      <c r="G52" s="357">
        <f t="shared" si="11"/>
        <v>0</v>
      </c>
      <c r="H52" s="357">
        <f t="shared" si="11"/>
        <v>0</v>
      </c>
    </row>
    <row r="53" spans="1:8">
      <c r="A53" s="244" t="s">
        <v>379</v>
      </c>
      <c r="B53" s="133"/>
      <c r="C53" s="357">
        <f>+C25</f>
        <v>5000</v>
      </c>
      <c r="D53" s="357">
        <f t="shared" si="11"/>
        <v>7000</v>
      </c>
      <c r="E53" s="357">
        <f t="shared" si="11"/>
        <v>7000</v>
      </c>
      <c r="F53" s="357">
        <f t="shared" si="11"/>
        <v>7000</v>
      </c>
      <c r="G53" s="357">
        <f t="shared" si="11"/>
        <v>7000</v>
      </c>
      <c r="H53" s="357">
        <f t="shared" si="11"/>
        <v>7000</v>
      </c>
    </row>
    <row r="54" spans="1:8">
      <c r="A54" s="244" t="s">
        <v>380</v>
      </c>
      <c r="B54" s="133"/>
      <c r="C54" s="357">
        <f>+C26</f>
        <v>0</v>
      </c>
      <c r="D54" s="357">
        <f t="shared" si="11"/>
        <v>0</v>
      </c>
      <c r="E54" s="357">
        <f t="shared" si="11"/>
        <v>0</v>
      </c>
      <c r="F54" s="357">
        <f t="shared" si="11"/>
        <v>0</v>
      </c>
      <c r="G54" s="357">
        <f t="shared" si="11"/>
        <v>0</v>
      </c>
      <c r="H54" s="357">
        <f t="shared" si="11"/>
        <v>0</v>
      </c>
    </row>
    <row r="55" spans="1:8">
      <c r="A55" s="244" t="s">
        <v>381</v>
      </c>
      <c r="B55" s="133"/>
      <c r="C55" s="357">
        <f>+C27</f>
        <v>0</v>
      </c>
      <c r="D55" s="357">
        <f t="shared" si="11"/>
        <v>0</v>
      </c>
      <c r="E55" s="357">
        <f t="shared" si="11"/>
        <v>0</v>
      </c>
      <c r="F55" s="357">
        <f t="shared" si="11"/>
        <v>0</v>
      </c>
      <c r="G55" s="357">
        <f t="shared" si="11"/>
        <v>0</v>
      </c>
      <c r="H55" s="357">
        <f t="shared" si="11"/>
        <v>0</v>
      </c>
    </row>
    <row r="56" spans="1:8">
      <c r="A56" s="605" t="s">
        <v>273</v>
      </c>
      <c r="B56" s="606"/>
      <c r="C56" s="136">
        <f t="shared" ref="C56:H56" si="12">+SUM(C51:C55)</f>
        <v>5000</v>
      </c>
      <c r="D56" s="136">
        <f t="shared" si="12"/>
        <v>7000</v>
      </c>
      <c r="E56" s="136">
        <f t="shared" si="12"/>
        <v>7000</v>
      </c>
      <c r="F56" s="136">
        <f t="shared" si="12"/>
        <v>7000</v>
      </c>
      <c r="G56" s="136">
        <f t="shared" si="12"/>
        <v>7000</v>
      </c>
      <c r="H56" s="136">
        <f t="shared" si="12"/>
        <v>7000</v>
      </c>
    </row>
    <row r="57" spans="1:8" ht="10.8" thickBot="1">
      <c r="A57" s="614" t="s">
        <v>173</v>
      </c>
      <c r="B57" s="614"/>
      <c r="C57" s="137">
        <f t="shared" ref="C57:H57" si="13">+C40+C49+C56</f>
        <v>145000</v>
      </c>
      <c r="D57" s="137">
        <f t="shared" si="13"/>
        <v>217000</v>
      </c>
      <c r="E57" s="137">
        <f t="shared" si="13"/>
        <v>227000</v>
      </c>
      <c r="F57" s="137">
        <f t="shared" si="13"/>
        <v>227000</v>
      </c>
      <c r="G57" s="137">
        <f t="shared" si="13"/>
        <v>227000</v>
      </c>
      <c r="H57" s="137">
        <f t="shared" si="13"/>
        <v>227000</v>
      </c>
    </row>
    <row r="58" spans="1:8" ht="10.8" thickTop="1">
      <c r="A58" s="142"/>
      <c r="B58" s="142"/>
      <c r="C58" s="143"/>
      <c r="D58" s="143"/>
      <c r="E58" s="143"/>
      <c r="F58" s="143"/>
      <c r="G58" s="143"/>
      <c r="H58" s="143"/>
    </row>
    <row r="59" spans="1:8">
      <c r="A59" s="142"/>
      <c r="B59" s="142"/>
      <c r="C59" s="143"/>
      <c r="D59" s="143"/>
      <c r="E59" s="143"/>
      <c r="F59" s="143"/>
      <c r="G59" s="143"/>
      <c r="H59" s="143"/>
    </row>
    <row r="60" spans="1:8">
      <c r="A60" s="616" t="s">
        <v>389</v>
      </c>
      <c r="B60" s="617"/>
      <c r="C60" s="618"/>
      <c r="D60" s="602" t="s">
        <v>497</v>
      </c>
      <c r="E60" s="602"/>
      <c r="F60" s="602"/>
      <c r="G60" s="602"/>
      <c r="H60" s="143"/>
    </row>
    <row r="61" spans="1:8">
      <c r="A61" s="251" t="s">
        <v>367</v>
      </c>
      <c r="B61" s="252"/>
      <c r="C61" s="253"/>
      <c r="D61" s="602"/>
      <c r="E61" s="602"/>
      <c r="F61" s="602"/>
      <c r="G61" s="602"/>
      <c r="H61" s="143"/>
    </row>
    <row r="62" spans="1:8">
      <c r="A62" s="244" t="s">
        <v>369</v>
      </c>
      <c r="B62" s="133"/>
      <c r="C62" s="437">
        <v>0.04</v>
      </c>
      <c r="D62" s="143"/>
      <c r="E62" s="143"/>
      <c r="F62" s="143"/>
      <c r="G62" s="143"/>
      <c r="H62" s="143"/>
    </row>
    <row r="63" spans="1:8">
      <c r="A63" s="244" t="s">
        <v>370</v>
      </c>
      <c r="B63" s="133"/>
      <c r="C63" s="437">
        <v>0.2</v>
      </c>
      <c r="D63" s="143"/>
      <c r="E63" s="143"/>
      <c r="F63" s="143"/>
      <c r="G63" s="143"/>
      <c r="H63" s="143"/>
    </row>
    <row r="64" spans="1:8">
      <c r="A64" s="132" t="s">
        <v>372</v>
      </c>
      <c r="B64" s="133"/>
      <c r="C64" s="254"/>
      <c r="D64" s="143"/>
      <c r="E64" s="143"/>
      <c r="F64" s="143"/>
      <c r="G64" s="143"/>
      <c r="H64" s="143"/>
    </row>
    <row r="65" spans="1:8">
      <c r="A65" s="244" t="s">
        <v>369</v>
      </c>
      <c r="B65" s="133"/>
      <c r="C65" s="437">
        <v>0.05</v>
      </c>
      <c r="D65" s="379"/>
      <c r="E65" s="143"/>
      <c r="F65" s="143"/>
      <c r="G65" s="143"/>
      <c r="H65" s="143"/>
    </row>
    <row r="66" spans="1:8">
      <c r="A66" s="244" t="s">
        <v>373</v>
      </c>
      <c r="B66" s="133"/>
      <c r="C66" s="437">
        <v>0.125</v>
      </c>
      <c r="D66" s="143"/>
      <c r="E66" s="143"/>
      <c r="F66" s="143"/>
      <c r="G66" s="143"/>
      <c r="H66" s="143"/>
    </row>
    <row r="67" spans="1:8">
      <c r="A67" s="244" t="s">
        <v>374</v>
      </c>
      <c r="B67" s="133"/>
      <c r="C67" s="437">
        <v>0.25</v>
      </c>
      <c r="D67" s="143"/>
      <c r="E67" s="143"/>
      <c r="F67" s="143"/>
      <c r="G67" s="143"/>
      <c r="H67" s="143"/>
    </row>
    <row r="68" spans="1:8">
      <c r="A68" s="244" t="s">
        <v>375</v>
      </c>
      <c r="B68" s="133"/>
      <c r="C68" s="437">
        <v>0.25</v>
      </c>
      <c r="D68" s="143"/>
      <c r="E68" s="143"/>
      <c r="F68" s="143"/>
      <c r="G68" s="143"/>
      <c r="H68" s="143"/>
    </row>
    <row r="69" spans="1:8">
      <c r="A69" s="244" t="s">
        <v>376</v>
      </c>
      <c r="B69" s="133"/>
      <c r="C69" s="437">
        <v>0.2</v>
      </c>
      <c r="D69" s="143"/>
      <c r="E69" s="143"/>
      <c r="F69" s="143"/>
      <c r="G69" s="143"/>
      <c r="H69" s="143"/>
    </row>
    <row r="70" spans="1:8">
      <c r="A70" s="244" t="s">
        <v>377</v>
      </c>
      <c r="B70" s="133"/>
      <c r="C70" s="437">
        <v>0.25</v>
      </c>
      <c r="D70" s="143"/>
      <c r="E70" s="143"/>
      <c r="F70" s="143"/>
      <c r="G70" s="143"/>
      <c r="H70" s="143"/>
    </row>
    <row r="71" spans="1:8">
      <c r="A71" s="132" t="s">
        <v>272</v>
      </c>
      <c r="B71" s="133"/>
      <c r="C71" s="254"/>
      <c r="D71" s="143"/>
      <c r="E71" s="143"/>
      <c r="F71" s="143"/>
      <c r="G71" s="143"/>
      <c r="H71" s="143"/>
    </row>
    <row r="72" spans="1:8">
      <c r="A72" s="244" t="s">
        <v>378</v>
      </c>
      <c r="B72" s="133"/>
      <c r="C72" s="438">
        <f>0.333333333333333*100%</f>
        <v>0.33333333333333298</v>
      </c>
      <c r="D72" s="603" t="s">
        <v>276</v>
      </c>
      <c r="E72" s="604"/>
      <c r="F72" s="604"/>
      <c r="G72" s="604"/>
      <c r="H72" s="604"/>
    </row>
    <row r="73" spans="1:8">
      <c r="A73" s="244" t="s">
        <v>379</v>
      </c>
      <c r="B73" s="133"/>
      <c r="C73" s="438">
        <f>0.333333333333333*100%</f>
        <v>0.33333333333333298</v>
      </c>
      <c r="D73" s="603"/>
      <c r="E73" s="604"/>
      <c r="F73" s="604"/>
      <c r="G73" s="604"/>
      <c r="H73" s="604"/>
    </row>
    <row r="74" spans="1:8">
      <c r="A74" s="244" t="s">
        <v>380</v>
      </c>
      <c r="B74" s="133"/>
      <c r="C74" s="438">
        <f>0.333333333333333*100%</f>
        <v>0.33333333333333298</v>
      </c>
      <c r="D74" s="143"/>
      <c r="E74" s="143"/>
      <c r="F74" s="143"/>
      <c r="G74" s="143"/>
      <c r="H74" s="143"/>
    </row>
    <row r="75" spans="1:8">
      <c r="A75" s="244" t="s">
        <v>381</v>
      </c>
      <c r="B75" s="133"/>
      <c r="C75" s="438">
        <f>0.333333333333333*100%</f>
        <v>0.33333333333333298</v>
      </c>
      <c r="D75" s="143"/>
      <c r="E75" s="143"/>
      <c r="F75" s="143"/>
      <c r="G75" s="143"/>
      <c r="H75" s="143"/>
    </row>
    <row r="76" spans="1:8">
      <c r="A76" s="142"/>
      <c r="B76" s="142"/>
      <c r="C76" s="143"/>
      <c r="D76" s="143"/>
      <c r="E76" s="143"/>
      <c r="F76" s="143"/>
      <c r="G76" s="143"/>
      <c r="H76" s="143"/>
    </row>
    <row r="77" spans="1:8" hidden="1">
      <c r="A77" s="145" t="s">
        <v>175</v>
      </c>
      <c r="B77" s="146"/>
      <c r="C77" s="131">
        <f>+C7</f>
        <v>2025</v>
      </c>
      <c r="D77" s="131">
        <f>+C77+1</f>
        <v>2026</v>
      </c>
      <c r="E77" s="131">
        <f>+D77+1</f>
        <v>2027</v>
      </c>
      <c r="F77" s="131">
        <f>+E77+1</f>
        <v>2028</v>
      </c>
      <c r="G77" s="131">
        <f>+F77+1</f>
        <v>2029</v>
      </c>
      <c r="H77" s="131">
        <f>+G77+1</f>
        <v>2030</v>
      </c>
    </row>
    <row r="78" spans="1:8" hidden="1">
      <c r="A78" s="259" t="s">
        <v>138</v>
      </c>
      <c r="B78" s="330"/>
      <c r="C78" s="255"/>
      <c r="D78" s="255"/>
      <c r="E78" s="255"/>
      <c r="F78" s="255"/>
      <c r="G78" s="255"/>
      <c r="H78" s="255"/>
    </row>
    <row r="79" spans="1:8" hidden="1">
      <c r="A79" s="358" t="s">
        <v>139</v>
      </c>
      <c r="B79" s="359">
        <f>+C62</f>
        <v>0.04</v>
      </c>
      <c r="C79" s="360">
        <f t="shared" ref="C79:H79" si="14">SUM(C80:C85)</f>
        <v>4000</v>
      </c>
      <c r="D79" s="360">
        <f t="shared" si="14"/>
        <v>6000</v>
      </c>
      <c r="E79" s="360">
        <f t="shared" si="14"/>
        <v>6000</v>
      </c>
      <c r="F79" s="360">
        <f t="shared" si="14"/>
        <v>6000</v>
      </c>
      <c r="G79" s="360">
        <f t="shared" si="14"/>
        <v>6000</v>
      </c>
      <c r="H79" s="360">
        <f t="shared" si="14"/>
        <v>6000</v>
      </c>
    </row>
    <row r="80" spans="1:8" hidden="1">
      <c r="A80" s="332">
        <f>C77</f>
        <v>2025</v>
      </c>
      <c r="B80" s="333"/>
      <c r="C80" s="352">
        <f>+IF(C$10&lt;0,0,C$10*$B$79)/12*C$31</f>
        <v>4000</v>
      </c>
      <c r="D80" s="365">
        <f>+IF(AND(C80&gt;0,C10&gt;0),+IF(ROUNDUP(SUM($C80:C80),0)&lt;C10,+C10*$B79*(C$31/12)),C10*$B79*(D$31/12))</f>
        <v>4000</v>
      </c>
      <c r="E80" s="339">
        <f>+IF(D80=0,0,+IF(ROUNDUP(SUM($C80:D80),0)&lt;$C$10,MIN(($C$10-SUM($C80:D80)),$C$10*$B$79),0))</f>
        <v>4000</v>
      </c>
      <c r="F80" s="339">
        <f>+IF(E80=0,0,+IF(ROUNDUP(SUM($C80:E80),0)&lt;$C$10,MIN(($C$10-SUM($C80:E80)),$C$10*$B$79),0))</f>
        <v>4000</v>
      </c>
      <c r="G80" s="339">
        <f>+IF(F80=0,0,+IF(ROUNDUP(SUM($C80:F80),0)&lt;$C$10,MIN(($C$10-SUM($C80:F80)),$C$10*$B$79),0))</f>
        <v>4000</v>
      </c>
      <c r="H80" s="339">
        <f>+IF(G80=0,0,+IF(ROUNDUP(SUM($C80:G80),0)&lt;$C$10,MIN(($C$10-SUM($C80:G80)),$C$10*$B$79),0))</f>
        <v>4000</v>
      </c>
    </row>
    <row r="81" spans="1:8" hidden="1">
      <c r="A81" s="332">
        <f>A80+1</f>
        <v>2026</v>
      </c>
      <c r="B81" s="333"/>
      <c r="C81" s="334"/>
      <c r="D81" s="352">
        <f>+IF(D$10&lt;0,0,D$10*$B$79)/12*D$31</f>
        <v>2000</v>
      </c>
      <c r="E81" s="339">
        <f>+IF(D81=0,0,+IF(ROUNDUP(SUM(D$81:$D81),0)&lt;$D$10,MIN(($D$10-SUM($D81:D81)),$D$10*$B$79),0))</f>
        <v>2000</v>
      </c>
      <c r="F81" s="339">
        <f>+IF(E81=0,0,+IF(ROUNDUP(SUM($D$81:E81),0)&lt;$D$10,MIN(($D$10-SUM($D81:E81)),$D$10*$B$79),0))</f>
        <v>2000</v>
      </c>
      <c r="G81" s="339">
        <f>+IF(F81=0,0,+IF(ROUNDUP(SUM($D$81:F81),0)&lt;$D$10,MIN(($D$10-SUM($D81:F81)),$D$10*$B$79),0))</f>
        <v>2000</v>
      </c>
      <c r="H81" s="339">
        <f>+IF(G81=0,0,+IF(ROUNDUP(SUM($D$81:G81),0)&lt;$D$10,MIN(($D$10-SUM($D81:G81)),$D$10*$B$79),0))</f>
        <v>2000</v>
      </c>
    </row>
    <row r="82" spans="1:8" hidden="1">
      <c r="A82" s="332">
        <f>A81+1</f>
        <v>2027</v>
      </c>
      <c r="B82" s="333"/>
      <c r="C82" s="334"/>
      <c r="D82" s="334"/>
      <c r="E82" s="352">
        <f>+IF(E$10&lt;0,0,E$10*$B$79)/12*E$31</f>
        <v>0</v>
      </c>
      <c r="F82" s="339">
        <f>+IF(E82=0,0,+IF(ROUNDUP(SUM($E$81:E82),0)&lt;$E$10,MIN(($E$10-SUM($E82:E82)),$E$10*$B$79),0))</f>
        <v>0</v>
      </c>
      <c r="G82" s="339">
        <f>+IF(F82=0,0,+IF(ROUNDUP(SUM($E$81:F82),0)&lt;$E$10,MIN(($E$10-SUM($E82:F82)),$E$10*$B$79),0))</f>
        <v>0</v>
      </c>
      <c r="H82" s="339">
        <f>+IF(G82=0,0,+IF(ROUNDUP(SUM($E$81:G82),0)&lt;$E$10,MIN(($E$10-SUM($E82:G82)),$E$10*$B$79),0))</f>
        <v>0</v>
      </c>
    </row>
    <row r="83" spans="1:8" hidden="1">
      <c r="A83" s="332">
        <f>A82+1</f>
        <v>2028</v>
      </c>
      <c r="B83" s="333"/>
      <c r="C83" s="334"/>
      <c r="D83" s="334"/>
      <c r="E83" s="334"/>
      <c r="F83" s="352">
        <f>+IF(F$10&lt;0,0,F$10*$B$79)/12*F$31</f>
        <v>0</v>
      </c>
      <c r="G83" s="339">
        <f>+IF(F83=0,0,+IF(ROUNDUP(SUM($F$81:F83),0)&lt;$F$10,MIN(($F$10-SUM($F83:F83)),$F$10*$B$79),0))</f>
        <v>0</v>
      </c>
      <c r="H83" s="339">
        <f>+IF(G83=0,0,+IF(ROUNDUP(SUM($F$81:G83),0)&lt;$F$10,MIN(($F$10-SUM($F83:G83)),$F$10*$B$79),0))</f>
        <v>0</v>
      </c>
    </row>
    <row r="84" spans="1:8" hidden="1">
      <c r="A84" s="332">
        <f>A83+1</f>
        <v>2029</v>
      </c>
      <c r="B84" s="333"/>
      <c r="C84" s="334"/>
      <c r="D84" s="334"/>
      <c r="E84" s="334"/>
      <c r="F84" s="334"/>
      <c r="G84" s="352">
        <f>+IF(G$10&lt;0,0,G$10*$B$79)/12*G$31</f>
        <v>0</v>
      </c>
      <c r="H84" s="339">
        <f>+IF(G84=0,0,+IF(ROUNDUP(SUM($G$81:G84),0)&lt;$G$10,MIN(($G$10-SUM($G84:G84)),$G$10*$B$79),0))</f>
        <v>0</v>
      </c>
    </row>
    <row r="85" spans="1:8" hidden="1">
      <c r="A85" s="332">
        <f>A84+1</f>
        <v>2030</v>
      </c>
      <c r="B85" s="333"/>
      <c r="C85" s="334"/>
      <c r="D85" s="334"/>
      <c r="E85" s="334"/>
      <c r="F85" s="334"/>
      <c r="G85" s="334"/>
      <c r="H85" s="352">
        <f>+IF(H$10&lt;0,0,H$10*$B$79)/12*H$31</f>
        <v>0</v>
      </c>
    </row>
    <row r="86" spans="1:8" hidden="1">
      <c r="A86" s="362" t="s">
        <v>140</v>
      </c>
      <c r="B86" s="359">
        <f>+C63</f>
        <v>0.2</v>
      </c>
      <c r="C86" s="360">
        <f t="shared" ref="C86:H86" si="15">SUM(C87:C92)</f>
        <v>0</v>
      </c>
      <c r="D86" s="360">
        <f t="shared" si="15"/>
        <v>0</v>
      </c>
      <c r="E86" s="360">
        <f t="shared" si="15"/>
        <v>0</v>
      </c>
      <c r="F86" s="360">
        <f t="shared" si="15"/>
        <v>0</v>
      </c>
      <c r="G86" s="360">
        <f t="shared" si="15"/>
        <v>0</v>
      </c>
      <c r="H86" s="360">
        <f t="shared" si="15"/>
        <v>0</v>
      </c>
    </row>
    <row r="87" spans="1:8" hidden="1">
      <c r="A87" s="332">
        <f t="shared" ref="A87:A92" si="16">A80</f>
        <v>2025</v>
      </c>
      <c r="B87" s="333"/>
      <c r="C87" s="352">
        <f>+IF(C$11&lt;0,0,C$11*$B$86)/12*$C$31</f>
        <v>0</v>
      </c>
      <c r="D87" s="365">
        <f>+IF(AND(C87&gt;0,C11&gt;0),+IF(ROUNDUP(SUM($C87:C87),0)&lt;C11,+C11*$B86*(C$31/12)),C11*$B86*(D$31/12))</f>
        <v>0</v>
      </c>
      <c r="E87" s="334">
        <f>+IF(D87=0,0,+IF(ROUNDUP(SUM($C87:D87),0)&lt;$C$11,MIN(($C$11-SUM($C87:D87)),$C$11*$B$86),0))</f>
        <v>0</v>
      </c>
      <c r="F87" s="334">
        <f>+IF(E87=0,0,+IF(ROUNDUP(SUM($C87:E87),0)&lt;$C$11,MIN(($C$11-SUM($C87:E87)),$C$11*$B$86),0))</f>
        <v>0</v>
      </c>
      <c r="G87" s="334">
        <f>+IF(F87=0,0,+IF(ROUNDUP(SUM($C87:F87),0)&lt;$C$11,MIN(($C$11-SUM($C87:F87)),$C$11*$B$86),0))</f>
        <v>0</v>
      </c>
      <c r="H87" s="334">
        <f>+IF(G87=0,0,+IF(ROUNDUP(SUM($C87:G87),0)&lt;$C$11,MIN(($C$11-SUM($C87:G87)),$C$11*$B$86),0))</f>
        <v>0</v>
      </c>
    </row>
    <row r="88" spans="1:8" hidden="1">
      <c r="A88" s="332">
        <f t="shared" si="16"/>
        <v>2026</v>
      </c>
      <c r="B88" s="333"/>
      <c r="C88" s="334"/>
      <c r="D88" s="352">
        <f>+IF(D$11&lt;0,0,D$11*$B$86)/12*$C$31</f>
        <v>0</v>
      </c>
      <c r="E88" s="334">
        <f>+IF(D88=0,0,+IF(ROUNDUP(SUM($D88:D88),0)&lt;$D$11,MIN(($D$11-SUM($D88:D88)),$D$11*$B$86),0))</f>
        <v>0</v>
      </c>
      <c r="F88" s="334">
        <f>+IF(E88=0,0,+IF(ROUNDUP(SUM($D88:E88),0)&lt;$D$11,MIN(($D$11-SUM($D88:E88)),$D$11*$B$86),0))</f>
        <v>0</v>
      </c>
      <c r="G88" s="334">
        <f>+IF(F88=0,0,+IF(ROUNDUP(SUM($D88:F88),0)&lt;$D$11,MIN(($D$11-SUM($D88:F88)),$D$11*$B$86),0))</f>
        <v>0</v>
      </c>
      <c r="H88" s="334">
        <f>+IF(G88=0,0,+IF(ROUNDUP(SUM($D88:G88),0)&lt;$D$11,MIN(($D$11-SUM($D88:G88)),$D$11*$B$86),0))</f>
        <v>0</v>
      </c>
    </row>
    <row r="89" spans="1:8" hidden="1">
      <c r="A89" s="332">
        <f t="shared" si="16"/>
        <v>2027</v>
      </c>
      <c r="B89" s="333"/>
      <c r="C89" s="334"/>
      <c r="D89" s="334"/>
      <c r="E89" s="352">
        <f>+IF(E$11&lt;0,0,E$11*$B$86)/12*$C$31</f>
        <v>0</v>
      </c>
      <c r="F89" s="334">
        <f>+IF(E89=0,0,+IF(ROUNDUP(SUM($E89:E89),0)&lt;$E$11,MIN(($E$11-SUM($E89:E89)),$E$11*$B$86),0))</f>
        <v>0</v>
      </c>
      <c r="G89" s="334">
        <f>+IF(F89=0,0,+IF(ROUNDUP(SUM($E89:F89),0)&lt;$E$11,MIN(($E$11-SUM($E89:F89)),$E$11*$B$86),0))</f>
        <v>0</v>
      </c>
      <c r="H89" s="334">
        <f>+IF(G89=0,0,+IF(ROUNDUP(SUM($E89:G89),0)&lt;$E$11,MIN(($E$11-SUM($E89:G89)),$E$11*$B$86),0))</f>
        <v>0</v>
      </c>
    </row>
    <row r="90" spans="1:8" hidden="1">
      <c r="A90" s="332">
        <f t="shared" si="16"/>
        <v>2028</v>
      </c>
      <c r="B90" s="333"/>
      <c r="C90" s="334"/>
      <c r="D90" s="334"/>
      <c r="E90" s="334"/>
      <c r="F90" s="352">
        <f>+IF(F$11&lt;0,0,F$11*$B$86)/12*$C$31</f>
        <v>0</v>
      </c>
      <c r="G90" s="334">
        <f>+IF(F90=0,0,+IF(ROUNDUP(SUM($F90:F90),0)&lt;$F$11,MIN(($F$11-SUM($F90:F90)),$F$11*$B$86),0))</f>
        <v>0</v>
      </c>
      <c r="H90" s="334">
        <f>+IF(G90=0,0,+IF(ROUNDUP(SUM($F90:G90),0)&lt;$F$11,MIN(($F$11-SUM($F90:G90)),$F$11*$B$86),0))</f>
        <v>0</v>
      </c>
    </row>
    <row r="91" spans="1:8" hidden="1">
      <c r="A91" s="332">
        <f t="shared" si="16"/>
        <v>2029</v>
      </c>
      <c r="B91" s="333"/>
      <c r="C91" s="334"/>
      <c r="D91" s="334"/>
      <c r="E91" s="334"/>
      <c r="F91" s="334"/>
      <c r="G91" s="352">
        <f>+IF(G$11&lt;0,0,G$11*$B$86)/12*$C$31</f>
        <v>0</v>
      </c>
      <c r="H91" s="334">
        <f>+IF(G91=0,0,+IF(ROUNDUP(SUM($G91:G91),0)&lt;$G$11,MIN(($G$11-SUM($G91:G91)),$G$11*$B$86),0))</f>
        <v>0</v>
      </c>
    </row>
    <row r="92" spans="1:8" hidden="1">
      <c r="A92" s="332">
        <f t="shared" si="16"/>
        <v>2030</v>
      </c>
      <c r="B92" s="333"/>
      <c r="C92" s="334"/>
      <c r="D92" s="334"/>
      <c r="E92" s="334"/>
      <c r="F92" s="334"/>
      <c r="G92" s="334"/>
      <c r="H92" s="352">
        <f>+IF(H$11&lt;0,0,H$11*$B$86)/12*$C$31</f>
        <v>0</v>
      </c>
    </row>
    <row r="93" spans="1:8" hidden="1">
      <c r="A93" s="615" t="s">
        <v>31</v>
      </c>
      <c r="B93" s="615"/>
      <c r="C93" s="361">
        <f t="shared" ref="C93:H93" si="17">+C79+C86</f>
        <v>4000</v>
      </c>
      <c r="D93" s="361">
        <f t="shared" si="17"/>
        <v>6000</v>
      </c>
      <c r="E93" s="361">
        <f t="shared" si="17"/>
        <v>6000</v>
      </c>
      <c r="F93" s="361">
        <f t="shared" si="17"/>
        <v>6000</v>
      </c>
      <c r="G93" s="361">
        <f t="shared" si="17"/>
        <v>6000</v>
      </c>
      <c r="H93" s="361">
        <f t="shared" si="17"/>
        <v>6000</v>
      </c>
    </row>
    <row r="94" spans="1:8" hidden="1">
      <c r="A94" s="337" t="s">
        <v>141</v>
      </c>
      <c r="B94" s="335"/>
      <c r="C94" s="338"/>
      <c r="D94" s="338"/>
      <c r="E94" s="338"/>
      <c r="F94" s="338"/>
      <c r="G94" s="338"/>
      <c r="H94" s="338"/>
    </row>
    <row r="95" spans="1:8" hidden="1">
      <c r="A95" s="363" t="s">
        <v>176</v>
      </c>
      <c r="B95" s="359">
        <f>+C65</f>
        <v>0.05</v>
      </c>
      <c r="C95" s="360">
        <f t="shared" ref="C95:H95" si="18">SUM(C96:C101)</f>
        <v>0</v>
      </c>
      <c r="D95" s="360">
        <f t="shared" si="18"/>
        <v>0</v>
      </c>
      <c r="E95" s="360">
        <f t="shared" si="18"/>
        <v>0</v>
      </c>
      <c r="F95" s="360">
        <f t="shared" si="18"/>
        <v>0</v>
      </c>
      <c r="G95" s="360">
        <f t="shared" si="18"/>
        <v>0</v>
      </c>
      <c r="H95" s="360">
        <f t="shared" si="18"/>
        <v>0</v>
      </c>
    </row>
    <row r="96" spans="1:8" hidden="1">
      <c r="A96" s="332">
        <f t="shared" ref="A96:A101" si="19">A87</f>
        <v>2025</v>
      </c>
      <c r="B96" s="333"/>
      <c r="C96" s="352">
        <f>+IF(C$15&lt;0,0,C$15*$B$95)/12*C$31</f>
        <v>0</v>
      </c>
      <c r="D96" s="365">
        <f>+IF(AND(C96&gt;0,C15&gt;0),+IF(ROUNDUP(SUM($C96:C96),0)&lt;C15,+C15*$B95*(C$31/12)),C15*$B95*(D$31/12))</f>
        <v>0</v>
      </c>
      <c r="E96" s="334">
        <f>+IF(D96=0,0,+IF(ROUNDUP(SUM($C96:D96),0)&lt;$C$15,MIN(($C$15-SUM($C96:D96)),$C$15*$B$95),0))</f>
        <v>0</v>
      </c>
      <c r="F96" s="334">
        <f>+IF(E96=0,0,+IF(ROUNDUP(SUM($C96:E96),0)&lt;$C$15,MIN(($C$15-SUM($C96:E96)),$C$15*$B$95),0))</f>
        <v>0</v>
      </c>
      <c r="G96" s="334">
        <f>+IF(F96=0,0,+IF(ROUNDUP(SUM($C96:F96),0)&lt;$C$15,MIN(($C$15-SUM($C96:F96)),$C$15*$B$95),0))</f>
        <v>0</v>
      </c>
      <c r="H96" s="334">
        <f>+IF(G96=0,0,+IF(ROUNDUP(SUM($C96:G96),0)&lt;$C$15,MIN(($C$15-SUM($C96:G96)),$C$15*$B$95),0))</f>
        <v>0</v>
      </c>
    </row>
    <row r="97" spans="1:8" hidden="1">
      <c r="A97" s="332">
        <f t="shared" si="19"/>
        <v>2026</v>
      </c>
      <c r="B97" s="333"/>
      <c r="C97" s="334"/>
      <c r="D97" s="352">
        <f>+IF(D$15&lt;0,0,D$15*$B$95)/12*D$31</f>
        <v>0</v>
      </c>
      <c r="E97" s="334">
        <f>+IF(D97=0,0,+IF(ROUNDUP(SUM($D97:D97),0)&lt;$D$15,MIN(($D$15-SUM($D97:D97)),$D$15*$B$95),0))</f>
        <v>0</v>
      </c>
      <c r="F97" s="334">
        <f>+IF(E97=0,0,+IF(ROUNDUP(SUM($D97:E97),0)&lt;$D$15,MIN(($D$15-SUM($D97:E97)),$D$15*$B$95),0))</f>
        <v>0</v>
      </c>
      <c r="G97" s="334">
        <f>+IF(F97=0,0,+IF(ROUNDUP(SUM($D97:F97),0)&lt;$D$15,MIN(($D$15-SUM($D97:F97)),$D$15*$B$95),0))</f>
        <v>0</v>
      </c>
      <c r="H97" s="334">
        <f>+IF(G97=0,0,+IF(ROUNDUP(SUM($D97:G97),0)&lt;$D$15,MIN(($D$15-SUM($D97:G97)),$D$15*$B$95),0))</f>
        <v>0</v>
      </c>
    </row>
    <row r="98" spans="1:8" hidden="1">
      <c r="A98" s="332">
        <f t="shared" si="19"/>
        <v>2027</v>
      </c>
      <c r="B98" s="333"/>
      <c r="C98" s="334"/>
      <c r="D98" s="334"/>
      <c r="E98" s="352">
        <f>+IF(E$15&lt;0,0,E$15*$B$95)/12*E$31</f>
        <v>0</v>
      </c>
      <c r="F98" s="334">
        <f>+IF(E98=0,0,+IF(ROUNDUP(SUM($E98:E98),0)&lt;$E$15,MIN(($E$15-SUM($E98:E98)),$E$15*$B$95),0))</f>
        <v>0</v>
      </c>
      <c r="G98" s="334">
        <f>+IF(F98=0,0,+IF(ROUNDUP(SUM($E98:F98),0)&lt;$E$15,MIN(($E$15-SUM($E98:F98)),$E$15*$B$95),0))</f>
        <v>0</v>
      </c>
      <c r="H98" s="334">
        <f>+IF(G98=0,0,+IF(ROUNDUP(SUM($E98:G98),0)&lt;$E$15,MIN(($E$15-SUM($E98:G98)),$E$15*$B$95),0))</f>
        <v>0</v>
      </c>
    </row>
    <row r="99" spans="1:8" hidden="1">
      <c r="A99" s="332">
        <f t="shared" si="19"/>
        <v>2028</v>
      </c>
      <c r="B99" s="333"/>
      <c r="C99" s="334"/>
      <c r="D99" s="334"/>
      <c r="E99" s="334"/>
      <c r="F99" s="352">
        <f>+IF(F$15&lt;0,0,F$15*$B$95)/12*F$31</f>
        <v>0</v>
      </c>
      <c r="G99" s="334">
        <f>+IF(F99=0,0,+IF(ROUNDUP(SUM($F99:F99),0)&lt;$F$15,MIN(($F$15-SUM($F99:F99)),$F$15*$B$95),0))</f>
        <v>0</v>
      </c>
      <c r="H99" s="334">
        <f>+IF(G99=0,0,+IF(ROUNDUP(SUM($F99:G99),0)&lt;$F$15,MIN(($F$15-SUM($F99:G99)),$F$15*$B$95),0))</f>
        <v>0</v>
      </c>
    </row>
    <row r="100" spans="1:8" hidden="1">
      <c r="A100" s="332">
        <f t="shared" si="19"/>
        <v>2029</v>
      </c>
      <c r="B100" s="333"/>
      <c r="C100" s="334"/>
      <c r="D100" s="334"/>
      <c r="E100" s="334"/>
      <c r="F100" s="334"/>
      <c r="G100" s="352">
        <f>+IF(G$15&lt;0,0,G$15*$B$95)/12*G$31</f>
        <v>0</v>
      </c>
      <c r="H100" s="334">
        <f>+IF(G100=0,0,+IF(ROUNDUP(SUM($G100:G100),0)&lt;$G$15,MIN(($G$15-SUM($G100:G100)),$G$15*$B$95),0))</f>
        <v>0</v>
      </c>
    </row>
    <row r="101" spans="1:8" hidden="1">
      <c r="A101" s="332">
        <f t="shared" si="19"/>
        <v>2030</v>
      </c>
      <c r="B101" s="333"/>
      <c r="C101" s="334"/>
      <c r="D101" s="334"/>
      <c r="E101" s="334"/>
      <c r="F101" s="334"/>
      <c r="G101" s="334"/>
      <c r="H101" s="352">
        <f>+IF(H$15&lt;0,0,H$15*$B$95)/12*H$31</f>
        <v>0</v>
      </c>
    </row>
    <row r="102" spans="1:8" hidden="1">
      <c r="A102" s="363" t="s">
        <v>179</v>
      </c>
      <c r="B102" s="359">
        <f>+C66</f>
        <v>0.125</v>
      </c>
      <c r="C102" s="360">
        <f t="shared" ref="C102:H102" si="20">SUM(C103:C108)</f>
        <v>5000</v>
      </c>
      <c r="D102" s="360">
        <f t="shared" si="20"/>
        <v>7500</v>
      </c>
      <c r="E102" s="360">
        <f t="shared" si="20"/>
        <v>8750</v>
      </c>
      <c r="F102" s="360">
        <f t="shared" si="20"/>
        <v>8750</v>
      </c>
      <c r="G102" s="360">
        <f t="shared" si="20"/>
        <v>8750</v>
      </c>
      <c r="H102" s="360">
        <f t="shared" si="20"/>
        <v>8750</v>
      </c>
    </row>
    <row r="103" spans="1:8" hidden="1">
      <c r="A103" s="332">
        <f t="shared" ref="A103:A136" si="21">A96</f>
        <v>2025</v>
      </c>
      <c r="B103" s="333"/>
      <c r="C103" s="352">
        <f>+IF(C$16&lt;0,0,C$16*$B$102)/12*C$31</f>
        <v>5000</v>
      </c>
      <c r="D103" s="365">
        <f>+IF(AND(C103&gt;0,C16&gt;0),+IF(ROUNDUP(SUM($C103:C103),0)&lt;C16,+C16*$B102*(C$31/12)),C16*$B102*(D$31/12))</f>
        <v>5000</v>
      </c>
      <c r="E103" s="334">
        <f>+IF(D103=0,0,+IF(ROUNDUP(SUM($C103:D103),0)&lt;$C$16,MIN(($C$16-SUM($C103:D103)),+$C$16*$B$102),0))</f>
        <v>5000</v>
      </c>
      <c r="F103" s="334">
        <f>+IF(E103=0,0,+IF(ROUNDUP(SUM($C103:E103),0)&lt;$C$16,MIN(($C$16-SUM($C103:E103)),+$C$16*$B$102),0))</f>
        <v>5000</v>
      </c>
      <c r="G103" s="334">
        <f>+IF(F103=0,0,+IF(ROUNDUP(SUM($C103:F103),0)&lt;$C$16,MIN(($C$16-SUM($C103:F103)),+$C$16*$B$102),0))</f>
        <v>5000</v>
      </c>
      <c r="H103" s="334">
        <f>+IF(G103=0,0,+IF(ROUNDUP(SUM($C103:G103),0)&lt;$C$16,MIN(($C$16-SUM($C103:G103)),+$C$16*$B$102),0))</f>
        <v>5000</v>
      </c>
    </row>
    <row r="104" spans="1:8" hidden="1">
      <c r="A104" s="332">
        <f t="shared" si="21"/>
        <v>2026</v>
      </c>
      <c r="B104" s="333"/>
      <c r="C104" s="334"/>
      <c r="D104" s="352">
        <f>+IF(D$16&lt;0,0,D$16*$B$102)/12*D$31</f>
        <v>2500</v>
      </c>
      <c r="E104" s="334">
        <f>+IF(D104=0,0,+IF(ROUNDUP(SUM($D104:D104),0)&lt;$D$16,MIN(($D$16-SUM($D104:D104)),+$D$16*$B$102),0))</f>
        <v>2500</v>
      </c>
      <c r="F104" s="334">
        <f>+IF(E104=0,0,+IF(ROUNDUP(SUM($D104:E104),0)&lt;$D$16,MIN(($D$16-SUM($D104:E104)),+$D$16*$B$102),0))</f>
        <v>2500</v>
      </c>
      <c r="G104" s="334">
        <f>+IF(F104=0,0,+IF(ROUNDUP(SUM($D104:F104),0)&lt;$D$16,MIN(($D$16-SUM($D104:F104)),+$D$16*$B$102),0))</f>
        <v>2500</v>
      </c>
      <c r="H104" s="334">
        <f>+IF(G104=0,0,+IF(ROUNDUP(SUM($D104:G104),0)&lt;$D$16,MIN(($D$16-SUM($D104:G104)),+$D$16*$B$102),0))</f>
        <v>2500</v>
      </c>
    </row>
    <row r="105" spans="1:8" hidden="1">
      <c r="A105" s="332">
        <f t="shared" si="21"/>
        <v>2027</v>
      </c>
      <c r="B105" s="333"/>
      <c r="C105" s="334"/>
      <c r="D105" s="334"/>
      <c r="E105" s="352">
        <f>+IF(E$16&lt;0,0,E$16*$B$102)/12*E$31</f>
        <v>1250</v>
      </c>
      <c r="F105" s="334">
        <f>+IF(E105=0,0,+IF(ROUNDUP(SUM($E105:E105),0)&lt;$E$16,MIN(($E$16-SUM($E105:E105)),+$E$16*$B$102),0))</f>
        <v>1250</v>
      </c>
      <c r="G105" s="334">
        <f>+IF(F105=0,0,+IF(ROUNDUP(SUM($E105:F105),0)&lt;$E$16,MIN(($E$16-SUM($E105:F105)),+$E$16*$B$102),0))</f>
        <v>1250</v>
      </c>
      <c r="H105" s="334">
        <f>+IF(G105=0,0,+IF(ROUNDUP(SUM($E105:G105),0)&lt;$E$16,MIN(($E$16-SUM($E105:G105)),+$E$16*$B$102),0))</f>
        <v>1250</v>
      </c>
    </row>
    <row r="106" spans="1:8" hidden="1">
      <c r="A106" s="332">
        <f t="shared" si="21"/>
        <v>2028</v>
      </c>
      <c r="B106" s="333"/>
      <c r="C106" s="334"/>
      <c r="D106" s="334"/>
      <c r="E106" s="334"/>
      <c r="F106" s="352">
        <f>+IF(F$16&lt;0,0,F$16*$B$102)/12*F$31</f>
        <v>0</v>
      </c>
      <c r="G106" s="334">
        <f>+IF(F106=0,0,+IF(ROUNDUP(SUM($F106:F106),0)&lt;$F$16,MIN(($F$16-SUM($F106:F106)),+$F$16*$B$102),0))</f>
        <v>0</v>
      </c>
      <c r="H106" s="334">
        <f>+IF(G106=0,0,+IF(ROUNDUP(SUM($F106:G106),0)&lt;$F$16,MIN(($F$16-SUM($F106:G106)),+$F$16*$B$102),0))</f>
        <v>0</v>
      </c>
    </row>
    <row r="107" spans="1:8" hidden="1">
      <c r="A107" s="332">
        <f t="shared" si="21"/>
        <v>2029</v>
      </c>
      <c r="B107" s="333"/>
      <c r="C107" s="334"/>
      <c r="D107" s="334"/>
      <c r="E107" s="334"/>
      <c r="F107" s="334"/>
      <c r="G107" s="352">
        <f>+IF(G$16&lt;0,0,G$16*$B$102)/12*G$31</f>
        <v>0</v>
      </c>
      <c r="H107" s="334">
        <f>+IF(G107=0,0,+IF(ROUNDUP(SUM($G107:G107),0)&lt;$G$16,MIN(($G$16-SUM($G107:G107)),+$G$16*$B$102),0))</f>
        <v>0</v>
      </c>
    </row>
    <row r="108" spans="1:8" hidden="1">
      <c r="A108" s="332">
        <f t="shared" si="21"/>
        <v>2030</v>
      </c>
      <c r="B108" s="333"/>
      <c r="C108" s="334"/>
      <c r="D108" s="334"/>
      <c r="E108" s="334"/>
      <c r="F108" s="334"/>
      <c r="G108" s="334"/>
      <c r="H108" s="352">
        <f>+IF(H$16&lt;0,0,H$16*$B$102)/12*H$31</f>
        <v>0</v>
      </c>
    </row>
    <row r="109" spans="1:8" hidden="1">
      <c r="A109" s="363" t="s">
        <v>180</v>
      </c>
      <c r="B109" s="359">
        <f>+C67</f>
        <v>0.25</v>
      </c>
      <c r="C109" s="360">
        <f t="shared" ref="C109:H109" si="22">SUM(C110:C115)</f>
        <v>0</v>
      </c>
      <c r="D109" s="360">
        <f t="shared" si="22"/>
        <v>0</v>
      </c>
      <c r="E109" s="360">
        <f t="shared" si="22"/>
        <v>0</v>
      </c>
      <c r="F109" s="360">
        <f t="shared" si="22"/>
        <v>0</v>
      </c>
      <c r="G109" s="360">
        <f t="shared" si="22"/>
        <v>0</v>
      </c>
      <c r="H109" s="360">
        <f t="shared" si="22"/>
        <v>0</v>
      </c>
    </row>
    <row r="110" spans="1:8" hidden="1">
      <c r="A110" s="332">
        <f t="shared" si="21"/>
        <v>2025</v>
      </c>
      <c r="B110" s="333"/>
      <c r="C110" s="364">
        <f>+IF(C$17&lt;0,0,C$17*$B$109)/12*C$31</f>
        <v>0</v>
      </c>
      <c r="D110" s="365">
        <f>+IF(AND(C110&gt;0,C17&gt;0),+IF(ROUNDUP(SUM($C110:C110),0)&lt;C17,+C17*$B109*(C$31/12)),C17*$B109*(D$31/12))</f>
        <v>0</v>
      </c>
      <c r="E110" s="339">
        <f>+IF(D110=0,0,+IF(ROUNDUP(SUM($C110:D110),0)&lt;$C$17,MIN(($C$17-SUM($C110:D110)),+$C$17*$B$109),0))</f>
        <v>0</v>
      </c>
      <c r="F110" s="339">
        <f>+IF(E110=0,0,+IF(ROUNDUP(SUM($C110:E110),0)&lt;$C$17,MIN(($C$17-SUM($C110:E110)),+$C$17*$B$109),0))</f>
        <v>0</v>
      </c>
      <c r="G110" s="339">
        <f>+IF(F110=0,0,+IF(ROUNDUP(SUM($C110:F110),0)&lt;$C$17,MIN(($C$17-SUM($C110:F110)),+$C$17*$B$109),0))</f>
        <v>0</v>
      </c>
      <c r="H110" s="339">
        <f>+IF(G110=0,0,+IF(ROUNDUP(SUM($C110:G110),0)&lt;$C$17,MIN(($C$17-SUM($C110:G110)),+$C$17*$B$109),0))</f>
        <v>0</v>
      </c>
    </row>
    <row r="111" spans="1:8" hidden="1">
      <c r="A111" s="332">
        <f t="shared" si="21"/>
        <v>2026</v>
      </c>
      <c r="B111" s="333"/>
      <c r="C111" s="334"/>
      <c r="D111" s="364">
        <f>+IF(D$17&lt;0,0,D$17*$B$109)/12*D$31</f>
        <v>0</v>
      </c>
      <c r="E111" s="339">
        <f>+IF(D111=0,0,+IF(ROUNDUP(SUM($D111:D111),0)&lt;$D$17,MIN(($D$17-SUM($D111:D111)),+$D$17*$B$109),0))</f>
        <v>0</v>
      </c>
      <c r="F111" s="339">
        <f>+IF(E111=0,0,+IF(ROUNDUP(SUM($D111:E111),0)&lt;$D$17,MIN(($D$17-SUM($D111:E111)),+$D$17*$B$109),0))</f>
        <v>0</v>
      </c>
      <c r="G111" s="339">
        <f>+IF(F111=0,0,+IF(ROUNDUP(SUM($D111:F111),0)&lt;$D$17,MIN(($D$17-SUM($D111:F111)),+$D$17*$B$109),0))</f>
        <v>0</v>
      </c>
      <c r="H111" s="339">
        <f>+IF(G111=0,0,+IF(ROUNDUP(SUM($D111:G111),0)&lt;$D$17,MIN(($D$17-SUM($D111:G111)),+$D$17*$B$109),0))</f>
        <v>0</v>
      </c>
    </row>
    <row r="112" spans="1:8" hidden="1">
      <c r="A112" s="332">
        <f t="shared" si="21"/>
        <v>2027</v>
      </c>
      <c r="B112" s="333"/>
      <c r="C112" s="334"/>
      <c r="D112" s="334"/>
      <c r="E112" s="364">
        <f>+IF(E$17&lt;0,0,E$17*$B$109)/12*E$31</f>
        <v>0</v>
      </c>
      <c r="F112" s="339">
        <f>+IF(E112=0,0,+IF(ROUNDUP(SUM($E112:E112),0)&lt;$E$17,MIN(($E$17-SUM($E112:E112)),+$E$17*$B$109),0))</f>
        <v>0</v>
      </c>
      <c r="G112" s="339">
        <f>+IF(F112=0,0,+IF(ROUNDUP(SUM($E112:F112),0)&lt;$E$17,MIN(($E$17-SUM($E112:F112)),+$E$17*$B$109),0))</f>
        <v>0</v>
      </c>
      <c r="H112" s="339">
        <f>+IF(G112=0,0,+IF(ROUNDUP(SUM($E112:G112),0)&lt;$E$17,MIN(($E$17-SUM($E112:G112)),+$E$17*$B$109),0))</f>
        <v>0</v>
      </c>
    </row>
    <row r="113" spans="1:8" hidden="1">
      <c r="A113" s="332">
        <f t="shared" si="21"/>
        <v>2028</v>
      </c>
      <c r="B113" s="333"/>
      <c r="C113" s="334"/>
      <c r="D113" s="334"/>
      <c r="E113" s="334"/>
      <c r="F113" s="364">
        <f>+IF(F$17&lt;0,0,F$17*$B$109)/12*F$31</f>
        <v>0</v>
      </c>
      <c r="G113" s="339">
        <f>+IF(F113=0,0,+IF(ROUNDUP(SUM($F113:F113),0)&lt;$F$17,MIN(($F$17-SUM($F113:F113)),+$F$17*$B$109),0))</f>
        <v>0</v>
      </c>
      <c r="H113" s="339">
        <f>+IF(G113=0,0,+IF(ROUNDUP(SUM($F113:G113),0)&lt;$F$17,MIN(($F$17-SUM($F113:G113)),+$F$17*$B$109),0))</f>
        <v>0</v>
      </c>
    </row>
    <row r="114" spans="1:8" hidden="1">
      <c r="A114" s="332">
        <f t="shared" si="21"/>
        <v>2029</v>
      </c>
      <c r="B114" s="333"/>
      <c r="C114" s="334"/>
      <c r="D114" s="334"/>
      <c r="E114" s="334"/>
      <c r="F114" s="334"/>
      <c r="G114" s="364">
        <f>+IF(G$17&lt;0,0,G$17*$B$109)/12*G$31</f>
        <v>0</v>
      </c>
      <c r="H114" s="339">
        <f>+IF(G114=0,0,+IF(ROUNDUP(SUM($G114:G114),0)&lt;$G$17,MIN(($G$17-SUM($G114:G114)),+$G$17*$B$109),0))</f>
        <v>0</v>
      </c>
    </row>
    <row r="115" spans="1:8" hidden="1">
      <c r="A115" s="332">
        <f t="shared" si="21"/>
        <v>2030</v>
      </c>
      <c r="B115" s="333"/>
      <c r="C115" s="334"/>
      <c r="D115" s="334"/>
      <c r="E115" s="334"/>
      <c r="F115" s="334"/>
      <c r="G115" s="334"/>
      <c r="H115" s="364">
        <f>+IF(H$17&lt;0,0,H$17*$B$109)/12*H$31</f>
        <v>0</v>
      </c>
    </row>
    <row r="116" spans="1:8" hidden="1">
      <c r="A116" s="363" t="s">
        <v>181</v>
      </c>
      <c r="B116" s="359">
        <f>+C68</f>
        <v>0.25</v>
      </c>
      <c r="C116" s="360">
        <f t="shared" ref="C116:H116" si="23">SUM(C117:C122)</f>
        <v>0</v>
      </c>
      <c r="D116" s="360">
        <f t="shared" si="23"/>
        <v>0</v>
      </c>
      <c r="E116" s="360">
        <f t="shared" si="23"/>
        <v>0</v>
      </c>
      <c r="F116" s="360">
        <f t="shared" si="23"/>
        <v>0</v>
      </c>
      <c r="G116" s="360">
        <f t="shared" si="23"/>
        <v>0</v>
      </c>
      <c r="H116" s="360">
        <f t="shared" si="23"/>
        <v>0</v>
      </c>
    </row>
    <row r="117" spans="1:8" hidden="1">
      <c r="A117" s="332">
        <f t="shared" si="21"/>
        <v>2025</v>
      </c>
      <c r="B117" s="333"/>
      <c r="C117" s="364">
        <f>+IF(C$18&lt;0,0,C$18*$B$116)/12*C$31</f>
        <v>0</v>
      </c>
      <c r="D117" s="365">
        <f>+IF(AND(C117&gt;0,C18&gt;0),+IF(ROUNDUP(SUM($C117:C117),0)&lt;C18,+C18*$B116*(C$31/12)),C18*$B116*(D$31/12))</f>
        <v>0</v>
      </c>
      <c r="E117" s="334">
        <f>+IF(D117=0,0,+IF(ROUNDUP(SUM($C117:D117),0)&lt;$C18,MIN(($C18-SUM($C117:D117)),+$C18*$B$116),0))</f>
        <v>0</v>
      </c>
      <c r="F117" s="334">
        <f>+IF(E117=0,0,+IF(ROUNDUP(SUM($C117:E117),0)&lt;$C18,MIN(($C18-SUM($C117:E117)),+$C18*$B$116),0))</f>
        <v>0</v>
      </c>
      <c r="G117" s="334">
        <f>+IF(F117=0,0,+IF(ROUNDUP(SUM($C117:F117),0)&lt;$C18,MIN(($C18-SUM($C117:F117)),+$C18*$B$116),0))</f>
        <v>0</v>
      </c>
      <c r="H117" s="334">
        <f>+IF(G117=0,0,+IF(ROUNDUP(SUM($C117:G117),0)&lt;$C18,MIN(($C18-SUM($C117:G117)),+$C18*$B$116),0))</f>
        <v>0</v>
      </c>
    </row>
    <row r="118" spans="1:8" hidden="1">
      <c r="A118" s="332">
        <f t="shared" si="21"/>
        <v>2026</v>
      </c>
      <c r="B118" s="333"/>
      <c r="C118" s="334"/>
      <c r="D118" s="364">
        <f>+IF(D$18&lt;0,0,D$18*$B$116)/12*D$31</f>
        <v>0</v>
      </c>
      <c r="E118" s="334">
        <f>+IF(D118=0,0,+IF(ROUNDUP(SUM($D118:D118),0)&lt;$D18,MIN(($D18-SUM($D118:D118)),+$D18*$B$116),0))</f>
        <v>0</v>
      </c>
      <c r="F118" s="334">
        <f>+IF(E118=0,0,+IF(ROUNDUP(SUM($D118:E118),0)&lt;$D18,MIN(($D18-SUM($D118:E118)),+$D18*$B$116),0))</f>
        <v>0</v>
      </c>
      <c r="G118" s="334">
        <f>+IF(F118=0,0,+IF(ROUNDUP(SUM($D118:F118),0)&lt;$D18,MIN(($D18-SUM($D118:F118)),+$D18*$B$116),0))</f>
        <v>0</v>
      </c>
      <c r="H118" s="334">
        <f>+IF(G118=0,0,+IF(ROUNDUP(SUM($D118:G118),0)&lt;$D18,MIN(($D18-SUM($D118:G118)),+$D18*$B$116),0))</f>
        <v>0</v>
      </c>
    </row>
    <row r="119" spans="1:8" hidden="1">
      <c r="A119" s="332">
        <f t="shared" si="21"/>
        <v>2027</v>
      </c>
      <c r="B119" s="333"/>
      <c r="C119" s="334"/>
      <c r="D119" s="334"/>
      <c r="E119" s="364">
        <f>+IF(E$18&lt;0,0,E$18*$B$116)/12*E$31</f>
        <v>0</v>
      </c>
      <c r="F119" s="334">
        <f>+IF(E119=0,0,+IF(ROUNDUP(SUM($E119:E119),0)&lt;$E$18,MIN(($E$18-SUM($E119:E119)),+$E$18*$B$116),0))</f>
        <v>0</v>
      </c>
      <c r="G119" s="334">
        <f>+IF(F119=0,0,+IF(ROUNDUP(SUM($E119:F119),0)&lt;$E$18,MIN(($E$18-SUM($E119:F119)),+$E$18*$B$116),0))</f>
        <v>0</v>
      </c>
      <c r="H119" s="334">
        <f>+IF(G119=0,0,+IF(ROUNDUP(SUM($E119:G119),0)&lt;$E$18,MIN(($E$18-SUM($E119:G119)),+$E$18*$B$116),0))</f>
        <v>0</v>
      </c>
    </row>
    <row r="120" spans="1:8" hidden="1">
      <c r="A120" s="332">
        <f t="shared" si="21"/>
        <v>2028</v>
      </c>
      <c r="B120" s="333"/>
      <c r="C120" s="334"/>
      <c r="D120" s="334"/>
      <c r="E120" s="334"/>
      <c r="F120" s="364">
        <f>+IF(F$18&lt;0,0,F$18*$B$116)/12*F$31</f>
        <v>0</v>
      </c>
      <c r="G120" s="334">
        <f>+IF(F120=0,0,+IF(ROUNDUP(SUM($F120:F120),0)&lt;$F$18,MIN(($F$18-SUM($F120:F120)),+$F$18*$B$116),0))</f>
        <v>0</v>
      </c>
      <c r="H120" s="334">
        <f>+IF(G120=0,0,+IF(ROUNDUP(SUM($F120:G120),0)&lt;$F$18,MIN(($F$18-SUM($F120:G120)),+$F$18*$B$116),0))</f>
        <v>0</v>
      </c>
    </row>
    <row r="121" spans="1:8" hidden="1">
      <c r="A121" s="332">
        <f t="shared" si="21"/>
        <v>2029</v>
      </c>
      <c r="B121" s="333"/>
      <c r="C121" s="334"/>
      <c r="D121" s="334"/>
      <c r="E121" s="334"/>
      <c r="F121" s="334"/>
      <c r="G121" s="364">
        <f>+IF(G$18&lt;0,0,G$18*$B$116)/12*G$31</f>
        <v>0</v>
      </c>
      <c r="H121" s="334">
        <f>+IF(G121=0,0,+IF(ROUNDUP(SUM($G121:G121),0)&lt;$G$18,MIN(($G$18-SUM($G121:G121)),+$G$18*$B$116),0))</f>
        <v>0</v>
      </c>
    </row>
    <row r="122" spans="1:8" hidden="1">
      <c r="A122" s="332">
        <f t="shared" si="21"/>
        <v>2030</v>
      </c>
      <c r="B122" s="333"/>
      <c r="C122" s="334"/>
      <c r="D122" s="334"/>
      <c r="E122" s="334"/>
      <c r="F122" s="334"/>
      <c r="G122" s="334"/>
      <c r="H122" s="364">
        <f>+IF(H$18&lt;0,0,H$18*$B$116)/12*H$31</f>
        <v>0</v>
      </c>
    </row>
    <row r="123" spans="1:8" hidden="1">
      <c r="A123" s="363" t="s">
        <v>182</v>
      </c>
      <c r="B123" s="359">
        <f>+C69</f>
        <v>0.2</v>
      </c>
      <c r="C123" s="360">
        <f t="shared" ref="C123:H123" si="24">SUM(C124:C129)</f>
        <v>0</v>
      </c>
      <c r="D123" s="360">
        <f t="shared" si="24"/>
        <v>0</v>
      </c>
      <c r="E123" s="360">
        <f t="shared" si="24"/>
        <v>0</v>
      </c>
      <c r="F123" s="360">
        <f t="shared" si="24"/>
        <v>0</v>
      </c>
      <c r="G123" s="360">
        <f t="shared" si="24"/>
        <v>0</v>
      </c>
      <c r="H123" s="360">
        <f t="shared" si="24"/>
        <v>0</v>
      </c>
    </row>
    <row r="124" spans="1:8" hidden="1">
      <c r="A124" s="332">
        <f t="shared" si="21"/>
        <v>2025</v>
      </c>
      <c r="B124" s="333"/>
      <c r="C124" s="364">
        <f>+IF(C$19&lt;0,0,C$19*$B$123)/12*C$31</f>
        <v>0</v>
      </c>
      <c r="D124" s="365">
        <f>+IF(AND(C124&gt;0,C19&gt;0),+IF(ROUNDUP(SUM($C124:C124),0)&lt;C19,+C19*$B123*(C$31/12)),C19*$B123*(D$31/12))</f>
        <v>0</v>
      </c>
      <c r="E124" s="334">
        <f>+IF(D124=0,0,+IF(ROUNDUP(SUM($C124:D124),0)&lt;$C$19,MIN(($C$19-SUM($C124:D124)),+$C$19*$B$123),0))</f>
        <v>0</v>
      </c>
      <c r="F124" s="334">
        <f>+IF(E124=0,0,+IF(ROUNDUP(SUM($C124:E124),0)&lt;$C$19,MIN(($C$19-SUM($C124:E124)),+$C$19*$B$123),0))</f>
        <v>0</v>
      </c>
      <c r="G124" s="334">
        <f>+IF(F124=0,0,+IF(ROUNDUP(SUM($C124:F124),0)&lt;$C$19,MIN(($C$19-SUM($C124:F124)),+$C$19*$B$123),0))</f>
        <v>0</v>
      </c>
      <c r="H124" s="334">
        <f>+IF(G124=0,0,+IF(ROUNDUP(SUM($C124:G124),0)&lt;$C$19,MIN(($C$19-SUM($C124:G124)),+$C$19*$B$123),0))</f>
        <v>0</v>
      </c>
    </row>
    <row r="125" spans="1:8" hidden="1">
      <c r="A125" s="332">
        <f t="shared" si="21"/>
        <v>2026</v>
      </c>
      <c r="B125" s="333"/>
      <c r="C125" s="334"/>
      <c r="D125" s="364">
        <f>+IF(D$19&lt;0,0,D$19*$B$123)/12*D$31</f>
        <v>0</v>
      </c>
      <c r="E125" s="334">
        <f>+IF(D125=0,0,+IF(ROUNDUP(SUM($D125:D125),0)&lt;$D$19,MIN(($D$19-SUM($D125:D125)),+$D$19*$B$123),0))</f>
        <v>0</v>
      </c>
      <c r="F125" s="334">
        <f>+IF(E125=0,0,+IF(ROUNDUP(SUM($D125:E125),0)&lt;$D$19,MIN(($D$19-SUM($D125:E125)),+$D$19*$B$123),0))</f>
        <v>0</v>
      </c>
      <c r="G125" s="334">
        <f>+IF(F125=0,0,+IF(ROUNDUP(SUM($D125:F125),0)&lt;$D$19,MIN(($D$19-SUM($D125:F125)),+$D$19*$B$123),0))</f>
        <v>0</v>
      </c>
      <c r="H125" s="334">
        <f>+IF(G125=0,0,+IF(ROUNDUP(SUM($D125:G125),0)&lt;$D$19,MIN(($D$19-SUM($D125:G125)),+$D$19*$B$123),0))</f>
        <v>0</v>
      </c>
    </row>
    <row r="126" spans="1:8" hidden="1">
      <c r="A126" s="332">
        <f t="shared" si="21"/>
        <v>2027</v>
      </c>
      <c r="B126" s="333"/>
      <c r="C126" s="334"/>
      <c r="D126" s="334"/>
      <c r="E126" s="364">
        <f>+IF(E$19&lt;0,0,E$19*$B$123)/12*E$31</f>
        <v>0</v>
      </c>
      <c r="F126" s="334">
        <f>+IF(E126=0,0,+IF(ROUNDUP(SUM($E126:E126),0)&lt;$E$19,MIN(($E$19-SUM($E126:E126)),+$E$19*$B$123),0))</f>
        <v>0</v>
      </c>
      <c r="G126" s="334">
        <f>+IF(F126=0,0,+IF(ROUNDUP(SUM($E126:F126),0)&lt;$E$19,MIN(($E$19-SUM($E126:F126)),+$E$19*$B$123),0))</f>
        <v>0</v>
      </c>
      <c r="H126" s="334">
        <f>+IF(G126=0,0,+IF(ROUNDUP(SUM($E126:G126),0)&lt;$E$19,MIN(($E$19-SUM($E126:G126)),+$E$19*$B$123),0))</f>
        <v>0</v>
      </c>
    </row>
    <row r="127" spans="1:8" hidden="1">
      <c r="A127" s="332">
        <f t="shared" si="21"/>
        <v>2028</v>
      </c>
      <c r="B127" s="333"/>
      <c r="C127" s="334"/>
      <c r="D127" s="334"/>
      <c r="E127" s="334"/>
      <c r="F127" s="364">
        <f>+IF(F$19&lt;0,0,F$19*$B$123)/12*F$31</f>
        <v>0</v>
      </c>
      <c r="G127" s="334">
        <f>+IF(F127=0,0,+IF(ROUNDUP(SUM($F127:F127),0)&lt;$F$19,MIN(($F$19-SUM($F127:F127)),+$F$19*$B$123),0))</f>
        <v>0</v>
      </c>
      <c r="H127" s="334">
        <f>+IF(G127=0,0,+IF(ROUNDUP(SUM($F127:G127),0)&lt;$F$19,MIN(($F$19-SUM($F127:G127)),+$F$19*$B$123),0))</f>
        <v>0</v>
      </c>
    </row>
    <row r="128" spans="1:8" hidden="1">
      <c r="A128" s="332">
        <f t="shared" si="21"/>
        <v>2029</v>
      </c>
      <c r="B128" s="333"/>
      <c r="C128" s="334"/>
      <c r="D128" s="334"/>
      <c r="E128" s="334"/>
      <c r="F128" s="334"/>
      <c r="G128" s="364">
        <f>+IF(G$19&lt;0,0,G$19*$B$123)/12*G$31</f>
        <v>0</v>
      </c>
      <c r="H128" s="334">
        <f>+IF(G128=0,0,+IF(ROUNDUP(SUM($E128:G128),0)&lt;$E$19,MIN(($E$19-SUM($E128:G128)),+$G$19*$B$123),0))</f>
        <v>0</v>
      </c>
    </row>
    <row r="129" spans="1:8" hidden="1">
      <c r="A129" s="332">
        <f t="shared" si="21"/>
        <v>2030</v>
      </c>
      <c r="B129" s="333"/>
      <c r="C129" s="334"/>
      <c r="D129" s="334"/>
      <c r="E129" s="334"/>
      <c r="F129" s="334"/>
      <c r="G129" s="334"/>
      <c r="H129" s="364">
        <f>+IF(H$19&lt;0,0,H$19*$B$123)/12*H$31</f>
        <v>0</v>
      </c>
    </row>
    <row r="130" spans="1:8" hidden="1">
      <c r="A130" s="363" t="s">
        <v>178</v>
      </c>
      <c r="B130" s="359">
        <f>+C70</f>
        <v>0.25</v>
      </c>
      <c r="C130" s="360">
        <f t="shared" ref="C130:H130" si="25">SUM(C131:C136)</f>
        <v>0</v>
      </c>
      <c r="D130" s="360">
        <f t="shared" si="25"/>
        <v>0</v>
      </c>
      <c r="E130" s="360">
        <f t="shared" si="25"/>
        <v>0</v>
      </c>
      <c r="F130" s="360">
        <f t="shared" si="25"/>
        <v>0</v>
      </c>
      <c r="G130" s="360">
        <f t="shared" si="25"/>
        <v>0</v>
      </c>
      <c r="H130" s="360">
        <f t="shared" si="25"/>
        <v>0</v>
      </c>
    </row>
    <row r="131" spans="1:8" hidden="1">
      <c r="A131" s="332">
        <f t="shared" si="21"/>
        <v>2025</v>
      </c>
      <c r="B131" s="333"/>
      <c r="C131" s="364">
        <f>+IF(C$20&lt;0,0,C$20*$B$130)/12*C$31</f>
        <v>0</v>
      </c>
      <c r="D131" s="365">
        <f>+IF(AND(C131&gt;0,C20&gt;0),+IF(ROUNDUP(SUM($C131:C131),0)&lt;C20,+C20*$B130*(C$31/12)),C20*$B130*(D$31/12))</f>
        <v>0</v>
      </c>
      <c r="E131" s="334">
        <f>+IF(D131=0,0,+IF(ROUNDUP(SUM($C131:D131),0)&lt;$C$20,MIN(($C$20-SUM($C131:D131)),+$C$20*$B$130),0))</f>
        <v>0</v>
      </c>
      <c r="F131" s="334">
        <f>+IF(E131=0,0,+IF(ROUNDUP(SUM($C131:E131),0)&lt;$C$20,MIN(($C$20-SUM($C131:E131)),+$C$20*$B$130),0))</f>
        <v>0</v>
      </c>
      <c r="G131" s="334">
        <f>+IF(F131=0,0,+IF(ROUNDUP(SUM($C131:F131),0)&lt;$C$20,MIN(($C$20-SUM($C131:F131)),+$C$20*$B$130),0))</f>
        <v>0</v>
      </c>
      <c r="H131" s="334">
        <f>+IF(G131=0,0,+IF(ROUNDUP(SUM($C131:G131),0)&lt;$C$20,MIN(($C$20-SUM($C131:G131)),+$C$20*$B$130),0))</f>
        <v>0</v>
      </c>
    </row>
    <row r="132" spans="1:8" hidden="1">
      <c r="A132" s="332">
        <f t="shared" si="21"/>
        <v>2026</v>
      </c>
      <c r="B132" s="333"/>
      <c r="C132" s="334"/>
      <c r="D132" s="364">
        <f>+IF(D$20&lt;0,0,D$20*$B$130)/12*D$31</f>
        <v>0</v>
      </c>
      <c r="E132" s="334">
        <f>+IF(D132=0,0,+IF(ROUNDUP(SUM($D132:D132),0)&lt;$D$20,MIN(($D$20-SUM($D132:D132)),+$D$20*$B$130),0))</f>
        <v>0</v>
      </c>
      <c r="F132" s="334">
        <f>+IF(E132=0,0,+IF(ROUNDUP(SUM($D132:E132),0)&lt;$D$20,MIN(($D$20-SUM($D132:E132)),+$D$20*$B$130),0))</f>
        <v>0</v>
      </c>
      <c r="G132" s="334">
        <f>+IF(F132=0,0,+IF(ROUNDUP(SUM($D132:F132),0)&lt;$D$20,MIN(($D$20-SUM($D132:F132)),+$D$20*$B$130),0))</f>
        <v>0</v>
      </c>
      <c r="H132" s="334">
        <f>+IF(G132=0,0,+IF(ROUNDUP(SUM($D132:G132),0)&lt;$D$20,MIN(($D$20-SUM($D132:G132)),+$D$20*$B$130),0))</f>
        <v>0</v>
      </c>
    </row>
    <row r="133" spans="1:8" hidden="1">
      <c r="A133" s="332">
        <f t="shared" si="21"/>
        <v>2027</v>
      </c>
      <c r="B133" s="333"/>
      <c r="C133" s="334"/>
      <c r="D133" s="334"/>
      <c r="E133" s="364">
        <f>+IF(E$20&lt;0,0,E$20*$B$130)/12*E$31</f>
        <v>0</v>
      </c>
      <c r="F133" s="334">
        <f>+IF(E133=0,0,+IF(ROUNDUP(SUM($E133:E133),0)&lt;$E$20,MIN(($E$20-SUM($E133:E133)),+$E$20*$B$130),0))</f>
        <v>0</v>
      </c>
      <c r="G133" s="334">
        <f>+IF(F133=0,0,+IF(ROUNDUP(SUM($E133:F133),0)&lt;$E$20,MIN(($E$20-SUM($E133:F133)),+$E$20*$B$130),0))</f>
        <v>0</v>
      </c>
      <c r="H133" s="334">
        <f>+IF(G133=0,0,+IF(ROUNDUP(SUM($E133:G133),0)&lt;$E$20,MIN(($E$20-SUM($E133:G133)),+$E$20*$B$130),0))</f>
        <v>0</v>
      </c>
    </row>
    <row r="134" spans="1:8" hidden="1">
      <c r="A134" s="332">
        <f t="shared" si="21"/>
        <v>2028</v>
      </c>
      <c r="B134" s="333"/>
      <c r="C134" s="334"/>
      <c r="D134" s="334"/>
      <c r="E134" s="334"/>
      <c r="F134" s="364">
        <f>+IF(F$20&lt;0,0,F$20*$B$130)/12*F$31</f>
        <v>0</v>
      </c>
      <c r="G134" s="334">
        <f>+IF(F134=0,0,+IF(ROUNDUP(SUM($F134:F134),0)&lt;$F$20,MIN(($F$20-SUM($F134:F134)),+$F$20*$B$130),0))</f>
        <v>0</v>
      </c>
      <c r="H134" s="334">
        <f>+IF(G134=0,0,+IF(ROUNDUP(SUM($F134:G134),0)&lt;$F$20,MIN(($F$20-SUM($F134:G134)),+$F$20*$B$130),0))</f>
        <v>0</v>
      </c>
    </row>
    <row r="135" spans="1:8" hidden="1">
      <c r="A135" s="332">
        <f t="shared" si="21"/>
        <v>2029</v>
      </c>
      <c r="B135" s="333"/>
      <c r="C135" s="334"/>
      <c r="D135" s="334"/>
      <c r="E135" s="334"/>
      <c r="F135" s="334"/>
      <c r="G135" s="364">
        <f>+IF(G$20&lt;0,0,G$20*$B$130)/12*G$31</f>
        <v>0</v>
      </c>
      <c r="H135" s="334">
        <f>+IF(G135=0,0,+IF(ROUNDUP(SUM($G135:G135),0)&lt;$G$20,MIN(($G$20-SUM($G135:G135)),+$G$20*$B$130),0))</f>
        <v>0</v>
      </c>
    </row>
    <row r="136" spans="1:8" hidden="1">
      <c r="A136" s="332">
        <f t="shared" si="21"/>
        <v>2030</v>
      </c>
      <c r="B136" s="333"/>
      <c r="C136" s="334"/>
      <c r="D136" s="334"/>
      <c r="E136" s="334"/>
      <c r="F136" s="334"/>
      <c r="G136" s="334"/>
      <c r="H136" s="364">
        <f>+IF(H$20&lt;0,0,H$20*$B$130)/12*H$31</f>
        <v>0</v>
      </c>
    </row>
    <row r="137" spans="1:8" hidden="1">
      <c r="A137" s="615" t="s">
        <v>31</v>
      </c>
      <c r="B137" s="615"/>
      <c r="C137" s="336">
        <f t="shared" ref="C137:H137" si="26">+C95+C102+C109+C116+C123+C130</f>
        <v>5000</v>
      </c>
      <c r="D137" s="336">
        <f t="shared" si="26"/>
        <v>7500</v>
      </c>
      <c r="E137" s="336">
        <f t="shared" si="26"/>
        <v>8750</v>
      </c>
      <c r="F137" s="336">
        <f t="shared" si="26"/>
        <v>8750</v>
      </c>
      <c r="G137" s="336">
        <f t="shared" si="26"/>
        <v>8750</v>
      </c>
      <c r="H137" s="336">
        <f t="shared" si="26"/>
        <v>8750</v>
      </c>
    </row>
    <row r="138" spans="1:8" hidden="1">
      <c r="A138" s="337" t="s">
        <v>156</v>
      </c>
      <c r="B138" s="335"/>
      <c r="C138" s="338"/>
      <c r="D138" s="338"/>
      <c r="E138" s="338"/>
      <c r="F138" s="338"/>
      <c r="G138" s="338"/>
      <c r="H138" s="338"/>
    </row>
    <row r="139" spans="1:8" hidden="1">
      <c r="A139" s="363" t="s">
        <v>160</v>
      </c>
      <c r="B139" s="359">
        <f>+C72</f>
        <v>0.33333333333333298</v>
      </c>
      <c r="C139" s="360">
        <f t="shared" ref="C139:H139" si="27">SUM(C140:C145)</f>
        <v>0</v>
      </c>
      <c r="D139" s="360">
        <f t="shared" si="27"/>
        <v>0</v>
      </c>
      <c r="E139" s="360">
        <f t="shared" si="27"/>
        <v>0</v>
      </c>
      <c r="F139" s="360">
        <f t="shared" si="27"/>
        <v>0</v>
      </c>
      <c r="G139" s="360">
        <f t="shared" si="27"/>
        <v>0</v>
      </c>
      <c r="H139" s="360">
        <f t="shared" si="27"/>
        <v>0</v>
      </c>
    </row>
    <row r="140" spans="1:8" hidden="1">
      <c r="A140" s="332">
        <f t="shared" ref="A140:A145" si="28">A103</f>
        <v>2025</v>
      </c>
      <c r="B140" s="333"/>
      <c r="C140" s="364">
        <f>+IF(C$24&lt;0,0,C$24*$B$139)/12*C$31</f>
        <v>0</v>
      </c>
      <c r="D140" s="365">
        <f>+IF(AND(C140&gt;0,C24&gt;0),+IF(ROUNDUP(SUM($C140:C140),0)&lt;C24,+C24*$B139*(C$31/12)),C24*$B139*(D$31/12))</f>
        <v>0</v>
      </c>
      <c r="E140" s="339">
        <f>+IF(D140=0,0,+IF(ROUNDUP(SUM($C140:D140),0)&lt;$C24,MIN(($C24-SUM($C140:D140)),+$C24*$B$139),0))</f>
        <v>0</v>
      </c>
      <c r="F140" s="339">
        <f>+IF(E140=0,0,+IF(ROUNDUP(SUM($C140:E140),0)&lt;$C24,MIN(($C24-SUM($C140:E140)),+$C24*$B$139),0))</f>
        <v>0</v>
      </c>
      <c r="G140" s="339">
        <f>+IF(F140=0,0,+IF(ROUNDUP(SUM($C140:F140),0)&lt;$C24,MIN(($C24-SUM($C140:F140)),+$C24*$B$139),0))</f>
        <v>0</v>
      </c>
      <c r="H140" s="339">
        <f>+IF(G140=0,0,+IF(ROUNDUP(SUM($C140:G140),0)&lt;$C24,MIN(($C24-SUM($C140:G140)),+$C24*$B$139),0))</f>
        <v>0</v>
      </c>
    </row>
    <row r="141" spans="1:8" hidden="1">
      <c r="A141" s="332">
        <f t="shared" si="28"/>
        <v>2026</v>
      </c>
      <c r="B141" s="333"/>
      <c r="C141" s="334">
        <f>+IF(C$25&lt;0,0,C$25*$B$146)/12*C71</f>
        <v>0</v>
      </c>
      <c r="D141" s="364">
        <f>+IF(D$24&lt;0,0,D$24*$B$139)/12*D$31</f>
        <v>0</v>
      </c>
      <c r="E141" s="339">
        <f>+IF(D141=0,0,+IF(ROUNDUP(SUM($D141:D141),0)&lt;D$24,MIN((D$24-SUM($D141:D141)),+D$24*$B$139),0))</f>
        <v>0</v>
      </c>
      <c r="F141" s="339">
        <f>+IF(E141=0,0,+IF(ROUNDUP(SUM($D141:E141),0)&lt;E$24,MIN((E$24-SUM($D141:E141)),+E$24*$B$139),0))</f>
        <v>0</v>
      </c>
      <c r="G141" s="339">
        <f>+IF(F141=0,0,+IF(ROUNDUP(SUM($D141:F141),0)&lt;F$24,MIN((F$24-SUM($D141:F141)),+F$24*$B$139),0))</f>
        <v>0</v>
      </c>
      <c r="H141" s="339">
        <f>+IF(G141=0,0,+IF(ROUNDUP(SUM($D141:G141),0)&lt;G$24,MIN((G$24-SUM($D141:G141)),+G$24*$B$139),0))</f>
        <v>0</v>
      </c>
    </row>
    <row r="142" spans="1:8" hidden="1">
      <c r="A142" s="332">
        <f t="shared" si="28"/>
        <v>2027</v>
      </c>
      <c r="B142" s="333"/>
      <c r="C142" s="334"/>
      <c r="D142" s="334"/>
      <c r="E142" s="364">
        <f>+IF(E$24&lt;0,0,E$24*$B$139)/12*E$31</f>
        <v>0</v>
      </c>
      <c r="F142" s="339">
        <f>+IF(E142=0,0,+IF(ROUNDUP(SUM($E142:E142),0)&lt;E$24,MIN((E$24-SUM($E142:E142)),+E$24*$B$139),0))</f>
        <v>0</v>
      </c>
      <c r="G142" s="339">
        <f>+IF(F142=0,0,+IF(ROUNDUP(SUM($E142:F142),0)&lt;F$24,MIN((F$24-SUM($E142:F142)),+F$24*$B$139),0))</f>
        <v>0</v>
      </c>
      <c r="H142" s="339">
        <f>+IF(G142=0,0,+IF(ROUNDUP(SUM($E142:G142),0)&lt;G$24,MIN((G$24-SUM($E142:G142)),+G$24*$B$139),0))</f>
        <v>0</v>
      </c>
    </row>
    <row r="143" spans="1:8" hidden="1">
      <c r="A143" s="332">
        <f t="shared" si="28"/>
        <v>2028</v>
      </c>
      <c r="B143" s="333"/>
      <c r="C143" s="334"/>
      <c r="D143" s="334"/>
      <c r="E143" s="334"/>
      <c r="F143" s="364">
        <f>+IF(F$24&lt;0,0,F$24*$B$139)/12*F$31</f>
        <v>0</v>
      </c>
      <c r="G143" s="339">
        <f>+IF(F143=0,0,+IF(ROUNDUP(SUM($F143:F143),0)&lt;F$24,MIN((F$24-SUM($F143:F143)),+F$24*$B$139),0))</f>
        <v>0</v>
      </c>
      <c r="H143" s="339">
        <f>+IF(G143=0,0,+IF(ROUNDUP(SUM($F143:G143),0)&lt;G$24,MIN((G$24-SUM($F143:G143)),+G$24*$B$139),0))</f>
        <v>0</v>
      </c>
    </row>
    <row r="144" spans="1:8" hidden="1">
      <c r="A144" s="332">
        <f t="shared" si="28"/>
        <v>2029</v>
      </c>
      <c r="B144" s="333"/>
      <c r="C144" s="334"/>
      <c r="D144" s="334"/>
      <c r="E144" s="334"/>
      <c r="F144" s="334"/>
      <c r="G144" s="364">
        <f>+IF(G$24&lt;0,0,G$24*$B$139)/12*G$31</f>
        <v>0</v>
      </c>
      <c r="H144" s="339">
        <f>+IF(G144=0,0,+IF(ROUNDUP(SUM($G144:G144),0)&lt;G$24,MIN((G$24-SUM($G144:G144)),+G$24*$B$139),0))</f>
        <v>0</v>
      </c>
    </row>
    <row r="145" spans="1:8" hidden="1">
      <c r="A145" s="332">
        <f t="shared" si="28"/>
        <v>2030</v>
      </c>
      <c r="B145" s="333"/>
      <c r="C145" s="334"/>
      <c r="D145" s="334"/>
      <c r="E145" s="334"/>
      <c r="F145" s="334"/>
      <c r="G145" s="334"/>
      <c r="H145" s="364">
        <f>+IF(H$24&lt;0,0,H$24*$B$139)</f>
        <v>0</v>
      </c>
    </row>
    <row r="146" spans="1:8" hidden="1">
      <c r="A146" s="363" t="s">
        <v>161</v>
      </c>
      <c r="B146" s="359">
        <f>+C73</f>
        <v>0.33333333333333298</v>
      </c>
      <c r="C146" s="360">
        <f t="shared" ref="C146:H146" si="29">SUM(C147:C152)</f>
        <v>1666.6666666666649</v>
      </c>
      <c r="D146" s="360">
        <f t="shared" si="29"/>
        <v>2333.3333333333308</v>
      </c>
      <c r="E146" s="360">
        <f t="shared" si="29"/>
        <v>2333.3333333333308</v>
      </c>
      <c r="F146" s="360">
        <f t="shared" si="29"/>
        <v>666.66666666666595</v>
      </c>
      <c r="G146" s="360">
        <f t="shared" si="29"/>
        <v>0</v>
      </c>
      <c r="H146" s="360">
        <f t="shared" si="29"/>
        <v>0</v>
      </c>
    </row>
    <row r="147" spans="1:8" hidden="1">
      <c r="A147" s="332">
        <f t="shared" ref="A147:A152" si="30">A140</f>
        <v>2025</v>
      </c>
      <c r="B147" s="333"/>
      <c r="C147" s="364">
        <f>+IF(C$25&lt;0,0,C$25*$B$146)/12*C$31</f>
        <v>1666.6666666666649</v>
      </c>
      <c r="D147" s="365">
        <f>+IF(AND(C147&gt;0,C25&gt;0),+IF(ROUNDUP(SUM($C147:C147),0)&lt;C25,+C25*$B146*(C$31/12)),C25*$B146*(D$31/12))</f>
        <v>1666.6666666666649</v>
      </c>
      <c r="E147" s="339">
        <f>+IF(D147=0,0,+IF(ROUNDUP(SUM($C147:D147),0)&lt;$C25,MIN(($C25-SUM($C147:D147)),+$C25*$B$146),0))</f>
        <v>1666.6666666666649</v>
      </c>
      <c r="F147" s="339">
        <f>+IF(E147=0,0,+IF(ROUNDUP(SUM($C147:E147),0)&lt;$C25,MIN(($C25-SUM($C147:E147)),+$C25*$B$146),0))</f>
        <v>0</v>
      </c>
      <c r="G147" s="339">
        <f>+IF(F147=0,0,+IF(ROUNDUP(SUM($C147:F147),0)&lt;$C25,MIN(($C25-SUM($C147:F147)),+$C25*$B$146),0))</f>
        <v>0</v>
      </c>
      <c r="H147" s="339">
        <f>+IF(G147=0,0,+IF(ROUNDUP(SUM($C147:G147),0)&lt;$C25,MIN(($C25-SUM($C147:G147)),+$C25*$B$146),0))</f>
        <v>0</v>
      </c>
    </row>
    <row r="148" spans="1:8" hidden="1">
      <c r="A148" s="332">
        <f t="shared" si="30"/>
        <v>2026</v>
      </c>
      <c r="B148" s="333"/>
      <c r="C148" s="334">
        <f>+IF(C$25&lt;0,0,C$25*$B$146)/12*C32</f>
        <v>0</v>
      </c>
      <c r="D148" s="364">
        <f>+IF(D$25&lt;0,0,D$25*$B$146)/12*D$31</f>
        <v>666.66666666666595</v>
      </c>
      <c r="E148" s="339">
        <f>+IF(D148=0,0,+IF(ROUNDUP(SUM($D148:D148),0)&lt;$D25,MIN(($D25-SUM($D148:D148)),+$D25*$B$146),0))</f>
        <v>666.66666666666595</v>
      </c>
      <c r="F148" s="339">
        <f>+IF(E148=0,0,+IF(ROUNDUP(SUM($D148:E148),0)&lt;$D25,MIN(($D25-SUM($D148:E148)),+$D25*$B$146),0))</f>
        <v>666.66666666666595</v>
      </c>
      <c r="G148" s="339">
        <f>+IF(F148=0,0,+IF(ROUNDUP(SUM($D148:F148),0)&lt;$D25,MIN(($D25-SUM($D148:F148)),+$D25*$B$146),0))</f>
        <v>0</v>
      </c>
      <c r="H148" s="339">
        <f>+IF(G148=0,0,+IF(ROUNDUP(SUM($D148:G148),0)&lt;$D25,MIN(($D25-SUM($D148:G148)),+$D25*$B$146),0))</f>
        <v>0</v>
      </c>
    </row>
    <row r="149" spans="1:8" hidden="1">
      <c r="A149" s="332">
        <f t="shared" si="30"/>
        <v>2027</v>
      </c>
      <c r="B149" s="333"/>
      <c r="C149" s="334"/>
      <c r="D149" s="334"/>
      <c r="E149" s="364">
        <f>+IF(E$25&lt;0,0,E$25*$B$146)/12*E$31</f>
        <v>0</v>
      </c>
      <c r="F149" s="339">
        <f>+IF(E149=0,0,+IF(ROUNDUP(SUM($E149:E149),0)&lt;$E25,MIN(($E25-SUM($E149:E149)),+$E25*$B$146),0))</f>
        <v>0</v>
      </c>
      <c r="G149" s="339">
        <f>+IF(F149=0,0,+IF(ROUNDUP(SUM($E149:F149),0)&lt;$E25,MIN(($E25-SUM($E149:F149)),+$E25*$B$146),0))</f>
        <v>0</v>
      </c>
      <c r="H149" s="339">
        <f>+IF(G149=0,0,+IF(ROUNDUP(SUM($E149:G149),0)&lt;$E25,MIN(($E25-SUM($E149:G149)),+$E25*$B$146),0))</f>
        <v>0</v>
      </c>
    </row>
    <row r="150" spans="1:8" hidden="1">
      <c r="A150" s="332">
        <f t="shared" si="30"/>
        <v>2028</v>
      </c>
      <c r="B150" s="333"/>
      <c r="C150" s="334"/>
      <c r="D150" s="334"/>
      <c r="E150" s="334"/>
      <c r="F150" s="364">
        <f>+IF(F$25&lt;0,0,F$25*$B$146)/12*F$31</f>
        <v>0</v>
      </c>
      <c r="G150" s="339">
        <f>+IF(F150=0,0,+IF(ROUNDUP(SUM($F150:F150),0)&lt;$F25,MIN(($F25-SUM($F150:F150)),+$F25*$B$146),0))</f>
        <v>0</v>
      </c>
      <c r="H150" s="339">
        <f>+IF(G150=0,0,+IF(ROUNDUP(SUM($F150:G150),0)&lt;$F25,MIN(($F25-SUM($F150:G150)),+$F25*$B$146),0))</f>
        <v>0</v>
      </c>
    </row>
    <row r="151" spans="1:8" hidden="1">
      <c r="A151" s="332">
        <f t="shared" si="30"/>
        <v>2029</v>
      </c>
      <c r="B151" s="333"/>
      <c r="C151" s="334"/>
      <c r="D151" s="334"/>
      <c r="E151" s="334"/>
      <c r="F151" s="334"/>
      <c r="G151" s="364">
        <f>+IF(G$25&lt;0,0,G$25*$B$146)/12*G$31</f>
        <v>0</v>
      </c>
      <c r="H151" s="339">
        <f>+IF(G151=0,0,+IF(ROUNDUP(SUM($G151:G151),0)&lt;$G25,MIN(($G25-SUM($G151:G151)),+$G25*$B$146),0))</f>
        <v>0</v>
      </c>
    </row>
    <row r="152" spans="1:8" hidden="1">
      <c r="A152" s="332">
        <f t="shared" si="30"/>
        <v>2030</v>
      </c>
      <c r="B152" s="333"/>
      <c r="C152" s="334"/>
      <c r="D152" s="334"/>
      <c r="E152" s="334"/>
      <c r="F152" s="334"/>
      <c r="G152" s="334"/>
      <c r="H152" s="364">
        <f>+IF(H$25&lt;0,0,H$25*$B$146)/12*H$31</f>
        <v>0</v>
      </c>
    </row>
    <row r="153" spans="1:8" hidden="1">
      <c r="A153" s="363" t="s">
        <v>162</v>
      </c>
      <c r="B153" s="359">
        <f>+C74</f>
        <v>0.33333333333333298</v>
      </c>
      <c r="C153" s="360">
        <f t="shared" ref="C153:H153" si="31">SUM(C154:C159)</f>
        <v>0</v>
      </c>
      <c r="D153" s="360">
        <f t="shared" si="31"/>
        <v>0</v>
      </c>
      <c r="E153" s="360">
        <f t="shared" si="31"/>
        <v>0</v>
      </c>
      <c r="F153" s="360">
        <f t="shared" si="31"/>
        <v>0</v>
      </c>
      <c r="G153" s="360">
        <f t="shared" si="31"/>
        <v>0</v>
      </c>
      <c r="H153" s="360">
        <f t="shared" si="31"/>
        <v>0</v>
      </c>
    </row>
    <row r="154" spans="1:8" hidden="1">
      <c r="A154" s="332">
        <f t="shared" ref="A154:A166" si="32">A147</f>
        <v>2025</v>
      </c>
      <c r="B154" s="333"/>
      <c r="C154" s="364">
        <f>+IF(C$26&lt;0,0,C$26*$B$153)/12*C$31</f>
        <v>0</v>
      </c>
      <c r="D154" s="365">
        <f>+IF(AND(C154&gt;0,C26&gt;0),+IF(ROUNDUP(SUM($C154:C154),0)&lt;C26,+C26*$B153*(C$31/12)),C26*$B153*(D$31/12))</f>
        <v>0</v>
      </c>
      <c r="E154" s="334">
        <f>+IF(D154=0,0,+IF(ROUNDUP(SUM($C154:D154),0)&lt;$C26,MIN(($C26-SUM($C154:D154)),+$C26*$B$153),0))</f>
        <v>0</v>
      </c>
      <c r="F154" s="334">
        <f>+IF(E154=0,0,+IF(ROUNDUP(SUM($C154:E154),0)&lt;$C26,MIN(($C26-SUM($C154:E154)),+$C26*$B$153),0))</f>
        <v>0</v>
      </c>
      <c r="G154" s="334">
        <f>+IF(F154=0,0,+IF(ROUNDUP(SUM($C154:F154),0)&lt;$C26,MIN(($C26-SUM($C154:F154)),+$C26*$B$153),0))</f>
        <v>0</v>
      </c>
      <c r="H154" s="334">
        <f>+IF(G154=0,0,+IF(ROUNDUP(SUM($C154:G154),0)&lt;$C26,MIN(($C26-SUM($C154:G154)),+$C26*$B$153),0))</f>
        <v>0</v>
      </c>
    </row>
    <row r="155" spans="1:8" hidden="1">
      <c r="A155" s="332">
        <f t="shared" si="32"/>
        <v>2026</v>
      </c>
      <c r="B155" s="333"/>
      <c r="C155" s="334"/>
      <c r="D155" s="334">
        <f>+IF(D$26&lt;0,0,D$26*$B$153)/12*D$31</f>
        <v>0</v>
      </c>
      <c r="E155" s="364">
        <f>+IF(D155=0,0,+IF(ROUNDUP(SUM($D155:D155),0)&lt;$D$26,MIN(($D$26-SUM($D155:D155)),+$D$26*$B$153),0))</f>
        <v>0</v>
      </c>
      <c r="F155" s="364">
        <f>+IF(E155=0,0,+IF(ROUNDUP(SUM($D155:E155),0)&lt;$D$26,MIN(($D$26-SUM($D155:E155)),+$D$26*$B$153),0))</f>
        <v>0</v>
      </c>
      <c r="G155" s="364">
        <f>+IF(F155=0,0,+IF(ROUNDUP(SUM($D155:F155),0)&lt;$D$26,MIN(($D$26-SUM($D155:F155)),+$D$26*$B$153),0))</f>
        <v>0</v>
      </c>
      <c r="H155" s="364">
        <f>+IF(G155=0,0,+IF(ROUNDUP(SUM($D155:G155),0)&lt;$D$26,MIN(($D$26-SUM($D155:G155)),+$D$26*$B$153),0))</f>
        <v>0</v>
      </c>
    </row>
    <row r="156" spans="1:8" hidden="1">
      <c r="A156" s="332">
        <f t="shared" si="32"/>
        <v>2027</v>
      </c>
      <c r="B156" s="333"/>
      <c r="C156" s="334"/>
      <c r="D156" s="334"/>
      <c r="E156" s="334">
        <f>+IF(E$26&lt;0,0,E$26*$B$153)/12*E$31</f>
        <v>0</v>
      </c>
      <c r="F156" s="364">
        <f>+IF(E156=0,0,+IF(ROUNDUP(SUM($E156:E156),0)&lt;$E$26,MIN(($E$26-SUM($E156:E156)),+$E$26*$B$153),0))</f>
        <v>0</v>
      </c>
      <c r="G156" s="364">
        <f>+IF(F156=0,0,+IF(ROUNDUP(SUM($E156:F156),0)&lt;$E$26,MIN(($E$26-SUM($E156:F156)),+$E$26*$B$153),0))</f>
        <v>0</v>
      </c>
      <c r="H156" s="364">
        <f>+IF(G156=0,0,+IF(ROUNDUP(SUM($E156:G156),0)&lt;$E$26,MIN(($E$26-SUM($E156:G156)),+$E$26*$B$153),0))</f>
        <v>0</v>
      </c>
    </row>
    <row r="157" spans="1:8" hidden="1">
      <c r="A157" s="332">
        <f t="shared" si="32"/>
        <v>2028</v>
      </c>
      <c r="B157" s="333"/>
      <c r="C157" s="334"/>
      <c r="D157" s="334"/>
      <c r="E157" s="334"/>
      <c r="F157" s="334">
        <f>+IF(F$26&lt;0,0,F$26*$B$153)/12*F$31</f>
        <v>0</v>
      </c>
      <c r="G157" s="364">
        <f>+IF(F157=0,0,+IF(ROUNDUP(SUM($F157:F157),0)&lt;$F$26,MIN(($F$26-SUM($F157:F157)),+$F$26*$B$153),0))</f>
        <v>0</v>
      </c>
      <c r="H157" s="364">
        <f>+IF(G157=0,0,+IF(ROUNDUP(SUM($F157:G157),0)&lt;$F$26,MIN(($F$26-SUM($F157:G157)),+$F$26*$B$153),0))</f>
        <v>0</v>
      </c>
    </row>
    <row r="158" spans="1:8" hidden="1">
      <c r="A158" s="332">
        <f t="shared" si="32"/>
        <v>2029</v>
      </c>
      <c r="B158" s="333"/>
      <c r="C158" s="334"/>
      <c r="D158" s="334"/>
      <c r="E158" s="334"/>
      <c r="F158" s="334"/>
      <c r="G158" s="334">
        <f>+IF(G$26&lt;0,0,G$26*$B$153)/12*G$31</f>
        <v>0</v>
      </c>
      <c r="H158" s="364">
        <f>+IF(G158=0,0,+IF(ROUNDUP(SUM($G158:G158),0)&lt;$G$26,MIN(($G$26-SUM($G158:G158)),+$G$26*$B$153),0))</f>
        <v>0</v>
      </c>
    </row>
    <row r="159" spans="1:8" hidden="1">
      <c r="A159" s="332">
        <f t="shared" si="32"/>
        <v>2030</v>
      </c>
      <c r="B159" s="333"/>
      <c r="C159" s="334"/>
      <c r="D159" s="334"/>
      <c r="E159" s="334"/>
      <c r="F159" s="334"/>
      <c r="G159" s="334"/>
      <c r="H159" s="334">
        <f>+IF(H$26&lt;0,0,H$26*$B$153)/12*H$31</f>
        <v>0</v>
      </c>
    </row>
    <row r="160" spans="1:8" hidden="1">
      <c r="A160" s="363" t="s">
        <v>163</v>
      </c>
      <c r="B160" s="359">
        <f>+C75</f>
        <v>0.33333333333333298</v>
      </c>
      <c r="C160" s="360">
        <f t="shared" ref="C160:H160" si="33">SUM(C161:C166)</f>
        <v>0</v>
      </c>
      <c r="D160" s="360">
        <f t="shared" si="33"/>
        <v>0</v>
      </c>
      <c r="E160" s="360">
        <f t="shared" si="33"/>
        <v>0</v>
      </c>
      <c r="F160" s="360">
        <f t="shared" si="33"/>
        <v>0</v>
      </c>
      <c r="G160" s="360">
        <f t="shared" si="33"/>
        <v>0</v>
      </c>
      <c r="H160" s="360">
        <f t="shared" si="33"/>
        <v>0</v>
      </c>
    </row>
    <row r="161" spans="1:8" hidden="1">
      <c r="A161" s="332">
        <f t="shared" si="32"/>
        <v>2025</v>
      </c>
      <c r="B161" s="333"/>
      <c r="C161" s="364">
        <f>+IF(C$27&lt;0,0,C$27*$B$160)/12*C$31</f>
        <v>0</v>
      </c>
      <c r="D161" s="365">
        <f>+IF(AND(C161&gt;0,C27&gt;0),+IF(ROUNDUP(SUM($C161:C161),0)&lt;C27,+C27*$B160*(C$31/12)),C27*$B160*(D$31/12))</f>
        <v>0</v>
      </c>
      <c r="E161" s="339">
        <f>+IF(D161=0,0,+IF(ROUNDUP(SUM($C161:D161),0)&lt;$C27,MIN(($C27-SUM($C161:D161)),+$C27*$B$160),0))</f>
        <v>0</v>
      </c>
      <c r="F161" s="339">
        <f>+IF(E161=0,0,+IF(ROUNDUP(SUM($C161:E161),0)&lt;$C27,MIN(($C27-SUM($C161:E161)),+$C27*$B$160),0))</f>
        <v>0</v>
      </c>
      <c r="G161" s="339">
        <f>+IF(F161=0,0,+IF(ROUNDUP(SUM($C161:F161),0)&lt;$C27,MIN(($C27-SUM($C161:F161)),+$C27*$B$160),0))</f>
        <v>0</v>
      </c>
      <c r="H161" s="339">
        <f>+IF(G161=0,0,+IF(ROUNDUP(SUM($C161:G161),0)&lt;$C27,MIN(($C27-SUM($C161:G161)),+$C27*$B$160),0))</f>
        <v>0</v>
      </c>
    </row>
    <row r="162" spans="1:8" hidden="1">
      <c r="A162" s="332">
        <f t="shared" si="32"/>
        <v>2026</v>
      </c>
      <c r="B162" s="333"/>
      <c r="C162" s="334"/>
      <c r="D162" s="364">
        <f>+IF(D$27&lt;0,0,D$27*$B$160)/12*D$31</f>
        <v>0</v>
      </c>
      <c r="E162" s="339">
        <f>+IF(D162=0,0,+IF(ROUNDUP(SUM($D162:D162),0)&lt;$D$27,MIN(($D$27-SUM($D162:D162)),+$D$27*$B$160),0))</f>
        <v>0</v>
      </c>
      <c r="F162" s="339">
        <f>+IF(E162=0,0,+IF(ROUNDUP(SUM($D162:E162),0)&lt;$D$27,MIN(($D$27-SUM($D162:E162)),+$D$27*$B$160),0))</f>
        <v>0</v>
      </c>
      <c r="G162" s="339">
        <f>+IF(F162=0,0,+IF(ROUNDUP(SUM($D162:F162),0)&lt;$D$27,MIN(($D$27-SUM($D162:F162)),+$D$27*$B$160),0))</f>
        <v>0</v>
      </c>
      <c r="H162" s="339">
        <f>+IF(G162=0,0,+IF(ROUNDUP(SUM($D162:G162),0)&lt;$D$27,MIN(($D$27-SUM($D162:G162)),+$D$27*$B$160),0))</f>
        <v>0</v>
      </c>
    </row>
    <row r="163" spans="1:8" hidden="1">
      <c r="A163" s="332">
        <f t="shared" si="32"/>
        <v>2027</v>
      </c>
      <c r="B163" s="333"/>
      <c r="C163" s="334"/>
      <c r="D163" s="334"/>
      <c r="E163" s="364">
        <f>+IF(E$27&lt;0,0,E$27*$B$160)/12*E$31</f>
        <v>0</v>
      </c>
      <c r="F163" s="339">
        <f>+IF(E163=0,0,+IF(ROUNDUP(SUM($E163:E163),0)&lt;$E$27,MIN(($E$27-SUM($E163:E163)),+$E$27*$B$160),0))</f>
        <v>0</v>
      </c>
      <c r="G163" s="339">
        <f>+IF(F163=0,0,+IF(ROUNDUP(SUM($E163:F163),0)&lt;$E$27,MIN(($E$27-SUM($E163:F163)),+$E$27*$B$160),0))</f>
        <v>0</v>
      </c>
      <c r="H163" s="339">
        <f>+IF(G163=0,0,+IF(ROUNDUP(SUM($E163:G163),0)&lt;$E$27,MIN(($E$27-SUM($E163:G163)),+$E$27*$B$160),0))</f>
        <v>0</v>
      </c>
    </row>
    <row r="164" spans="1:8" hidden="1">
      <c r="A164" s="332">
        <f t="shared" si="32"/>
        <v>2028</v>
      </c>
      <c r="B164" s="333"/>
      <c r="C164" s="334"/>
      <c r="D164" s="334"/>
      <c r="E164" s="334"/>
      <c r="F164" s="364">
        <f>+IF(F$27&lt;0,0,F$27*$B$160)/12*F$31</f>
        <v>0</v>
      </c>
      <c r="G164" s="339">
        <f>+IF(F164=0,0,+IF(ROUNDUP(SUM($F164:F164),0)&lt;$F$27,MIN(($F$27-SUM($F164:F164)),+$F$27*$B$160),0))</f>
        <v>0</v>
      </c>
      <c r="H164" s="339">
        <f>+IF(G164=0,0,+IF(ROUNDUP(SUM($F164:G164),0)&lt;$F$27,MIN(($F$27-SUM($F164:G164)),+$F$27*$B$160),0))</f>
        <v>0</v>
      </c>
    </row>
    <row r="165" spans="1:8" hidden="1">
      <c r="A165" s="332">
        <f t="shared" si="32"/>
        <v>2029</v>
      </c>
      <c r="B165" s="333"/>
      <c r="C165" s="334"/>
      <c r="D165" s="334"/>
      <c r="E165" s="334"/>
      <c r="F165" s="334"/>
      <c r="G165" s="364">
        <f>+IF(G$27&lt;0,0,G$27*$B$160)/12*G$31</f>
        <v>0</v>
      </c>
      <c r="H165" s="339">
        <f>+IF(G165=0,0,+IF(ROUNDUP(SUM($G165:G165),0)&lt;$G$27,MIN(($G$27-SUM($G165:G165)),+$G$27*$B$160),0))</f>
        <v>0</v>
      </c>
    </row>
    <row r="166" spans="1:8" hidden="1">
      <c r="A166" s="332">
        <f t="shared" si="32"/>
        <v>2030</v>
      </c>
      <c r="B166" s="333"/>
      <c r="C166" s="334"/>
      <c r="D166" s="334"/>
      <c r="E166" s="334"/>
      <c r="F166" s="334"/>
      <c r="G166" s="334"/>
      <c r="H166" s="364">
        <f>+IF(H$27&lt;0,0,H$27*$B$160)/12*H$31</f>
        <v>0</v>
      </c>
    </row>
    <row r="167" spans="1:8" hidden="1">
      <c r="A167" s="607" t="s">
        <v>31</v>
      </c>
      <c r="B167" s="608"/>
      <c r="C167" s="331">
        <f t="shared" ref="C167:H167" si="34">+C139+C146+C153+C160</f>
        <v>1666.6666666666649</v>
      </c>
      <c r="D167" s="331">
        <f t="shared" si="34"/>
        <v>2333.3333333333308</v>
      </c>
      <c r="E167" s="331">
        <f t="shared" si="34"/>
        <v>2333.3333333333308</v>
      </c>
      <c r="F167" s="331">
        <f t="shared" si="34"/>
        <v>666.66666666666595</v>
      </c>
      <c r="G167" s="331">
        <f t="shared" si="34"/>
        <v>0</v>
      </c>
      <c r="H167" s="331">
        <f t="shared" si="34"/>
        <v>0</v>
      </c>
    </row>
    <row r="168" spans="1:8">
      <c r="A168" s="612" t="s">
        <v>274</v>
      </c>
      <c r="B168" s="613"/>
      <c r="C168" s="257">
        <f t="shared" ref="C168:H168" si="35">+C93+C137+C167</f>
        <v>10666.666666666664</v>
      </c>
      <c r="D168" s="257">
        <f t="shared" si="35"/>
        <v>15833.33333333333</v>
      </c>
      <c r="E168" s="257">
        <f t="shared" si="35"/>
        <v>17083.333333333332</v>
      </c>
      <c r="F168" s="257">
        <f t="shared" si="35"/>
        <v>15416.666666666666</v>
      </c>
      <c r="G168" s="257">
        <f t="shared" si="35"/>
        <v>14750</v>
      </c>
      <c r="H168" s="257">
        <f t="shared" si="35"/>
        <v>14750</v>
      </c>
    </row>
    <row r="169" spans="1:8">
      <c r="A169" s="138"/>
      <c r="B169" s="138"/>
      <c r="C169" s="260"/>
      <c r="D169" s="260"/>
      <c r="E169" s="260"/>
      <c r="F169" s="260"/>
      <c r="G169" s="260"/>
      <c r="H169" s="260"/>
    </row>
    <row r="170" spans="1:8">
      <c r="A170" s="138"/>
      <c r="B170" s="138"/>
      <c r="C170" s="260"/>
      <c r="D170" s="260"/>
      <c r="E170" s="260"/>
      <c r="F170" s="260"/>
      <c r="G170" s="260"/>
      <c r="H170" s="260"/>
    </row>
    <row r="171" spans="1:8">
      <c r="A171" s="439" t="s">
        <v>275</v>
      </c>
      <c r="B171" s="146"/>
      <c r="C171" s="131">
        <f>+C7</f>
        <v>2025</v>
      </c>
      <c r="D171" s="131">
        <f>+C171+1</f>
        <v>2026</v>
      </c>
      <c r="E171" s="131">
        <f>+D171+1</f>
        <v>2027</v>
      </c>
      <c r="F171" s="131">
        <f>+E171+1</f>
        <v>2028</v>
      </c>
      <c r="G171" s="131">
        <f>+F171+1</f>
        <v>2029</v>
      </c>
      <c r="H171" s="131">
        <f>+G171+1</f>
        <v>2030</v>
      </c>
    </row>
    <row r="172" spans="1:8">
      <c r="A172" s="259" t="s">
        <v>367</v>
      </c>
      <c r="B172" s="133"/>
      <c r="C172" s="261">
        <f>+C93</f>
        <v>4000</v>
      </c>
      <c r="D172" s="261">
        <f>+SUM(C93:D93)</f>
        <v>10000</v>
      </c>
      <c r="E172" s="261">
        <f>+SUM(C93:E93)</f>
        <v>16000</v>
      </c>
      <c r="F172" s="261">
        <f>+SUM(C93:F93)</f>
        <v>22000</v>
      </c>
      <c r="G172" s="261">
        <f>+SUM(C93:G93)</f>
        <v>28000</v>
      </c>
      <c r="H172" s="261">
        <f>+SUM(C93:H93)</f>
        <v>34000</v>
      </c>
    </row>
    <row r="173" spans="1:8">
      <c r="A173" s="259" t="s">
        <v>372</v>
      </c>
      <c r="B173" s="133"/>
      <c r="C173" s="261">
        <f>+C137</f>
        <v>5000</v>
      </c>
      <c r="D173" s="261">
        <f>+SUM(C137:D137)</f>
        <v>12500</v>
      </c>
      <c r="E173" s="261">
        <f>+SUM(C137:E137)</f>
        <v>21250</v>
      </c>
      <c r="F173" s="261">
        <f>+SUM(C137:F137)</f>
        <v>30000</v>
      </c>
      <c r="G173" s="261">
        <f>+SUM(C137:G137)</f>
        <v>38750</v>
      </c>
      <c r="H173" s="261">
        <f>+SUM(C137:H137)</f>
        <v>47500</v>
      </c>
    </row>
    <row r="174" spans="1:8">
      <c r="A174" s="258" t="s">
        <v>272</v>
      </c>
      <c r="B174" s="133"/>
      <c r="C174" s="256">
        <f>+C167</f>
        <v>1666.6666666666649</v>
      </c>
      <c r="D174" s="256">
        <f>+SUM(C167:D167)</f>
        <v>3999.9999999999955</v>
      </c>
      <c r="E174" s="256">
        <f>+SUM(C167:E167)</f>
        <v>6333.3333333333267</v>
      </c>
      <c r="F174" s="256">
        <f>+SUM(C167:F167)</f>
        <v>6999.9999999999927</v>
      </c>
      <c r="G174" s="256">
        <f>+SUM(C167:G167)</f>
        <v>6999.9999999999927</v>
      </c>
      <c r="H174" s="256">
        <f>+SUM(C167:H167)</f>
        <v>6999.9999999999927</v>
      </c>
    </row>
    <row r="175" spans="1:8">
      <c r="A175" s="612" t="s">
        <v>31</v>
      </c>
      <c r="B175" s="613"/>
      <c r="C175" s="136">
        <f t="shared" ref="C175:H175" si="36">+C172+C173+C174</f>
        <v>10666.666666666664</v>
      </c>
      <c r="D175" s="136">
        <f t="shared" si="36"/>
        <v>26499.999999999996</v>
      </c>
      <c r="E175" s="136">
        <f t="shared" si="36"/>
        <v>43583.333333333328</v>
      </c>
      <c r="F175" s="136">
        <f t="shared" si="36"/>
        <v>58999.999999999993</v>
      </c>
      <c r="G175" s="136">
        <f t="shared" si="36"/>
        <v>73750</v>
      </c>
      <c r="H175" s="136">
        <f t="shared" si="36"/>
        <v>88500</v>
      </c>
    </row>
    <row r="176" spans="1:8">
      <c r="A176" s="138"/>
      <c r="B176" s="138"/>
      <c r="C176" s="260"/>
      <c r="D176" s="260"/>
      <c r="E176" s="260"/>
      <c r="F176" s="260"/>
      <c r="G176" s="260"/>
      <c r="H176" s="260"/>
    </row>
    <row r="177" spans="1:8">
      <c r="A177" s="138"/>
      <c r="B177" s="138"/>
      <c r="C177" s="260"/>
      <c r="D177" s="260"/>
      <c r="E177" s="260"/>
      <c r="F177" s="260"/>
      <c r="G177" s="260"/>
      <c r="H177" s="260"/>
    </row>
    <row r="178" spans="1:8">
      <c r="A178" s="439" t="s">
        <v>184</v>
      </c>
      <c r="B178" s="146"/>
      <c r="C178" s="131">
        <f>+C7</f>
        <v>2025</v>
      </c>
      <c r="D178" s="131">
        <f>+C178+1</f>
        <v>2026</v>
      </c>
      <c r="E178" s="131">
        <f>+D178+1</f>
        <v>2027</v>
      </c>
      <c r="F178" s="131">
        <f>+E178+1</f>
        <v>2028</v>
      </c>
      <c r="G178" s="131">
        <f>+F178+1</f>
        <v>2029</v>
      </c>
      <c r="H178" s="131">
        <f>+G178+1</f>
        <v>2030</v>
      </c>
    </row>
    <row r="179" spans="1:8">
      <c r="A179" s="259" t="s">
        <v>367</v>
      </c>
      <c r="B179" s="133"/>
      <c r="C179" s="261">
        <f t="shared" ref="C179:H179" si="37">+C40-C172</f>
        <v>96000</v>
      </c>
      <c r="D179" s="261">
        <f t="shared" si="37"/>
        <v>140000</v>
      </c>
      <c r="E179" s="261">
        <f t="shared" si="37"/>
        <v>134000</v>
      </c>
      <c r="F179" s="261">
        <f t="shared" si="37"/>
        <v>128000</v>
      </c>
      <c r="G179" s="261">
        <f t="shared" si="37"/>
        <v>122000</v>
      </c>
      <c r="H179" s="261">
        <f t="shared" si="37"/>
        <v>116000</v>
      </c>
    </row>
    <row r="180" spans="1:8">
      <c r="A180" s="259" t="s">
        <v>372</v>
      </c>
      <c r="B180" s="133"/>
      <c r="C180" s="261">
        <f t="shared" ref="C180:H180" si="38">+C49-C173</f>
        <v>35000</v>
      </c>
      <c r="D180" s="261">
        <f t="shared" si="38"/>
        <v>47500</v>
      </c>
      <c r="E180" s="261">
        <f t="shared" si="38"/>
        <v>48750</v>
      </c>
      <c r="F180" s="261">
        <f t="shared" si="38"/>
        <v>40000</v>
      </c>
      <c r="G180" s="261">
        <f t="shared" si="38"/>
        <v>31250</v>
      </c>
      <c r="H180" s="261">
        <f t="shared" si="38"/>
        <v>22500</v>
      </c>
    </row>
    <row r="181" spans="1:8">
      <c r="A181" s="258" t="s">
        <v>272</v>
      </c>
      <c r="B181" s="133"/>
      <c r="C181" s="256">
        <f t="shared" ref="C181:H181" si="39">+C56-C174</f>
        <v>3333.3333333333348</v>
      </c>
      <c r="D181" s="256">
        <f t="shared" si="39"/>
        <v>3000.0000000000045</v>
      </c>
      <c r="E181" s="256">
        <f t="shared" si="39"/>
        <v>666.66666666667334</v>
      </c>
      <c r="F181" s="256">
        <f t="shared" si="39"/>
        <v>7.2759576141834259E-12</v>
      </c>
      <c r="G181" s="256">
        <f t="shared" si="39"/>
        <v>7.2759576141834259E-12</v>
      </c>
      <c r="H181" s="256">
        <f t="shared" si="39"/>
        <v>7.2759576141834259E-12</v>
      </c>
    </row>
    <row r="182" spans="1:8">
      <c r="A182" s="612" t="s">
        <v>31</v>
      </c>
      <c r="B182" s="613"/>
      <c r="C182" s="136">
        <f t="shared" ref="C182:H182" si="40">+C179+C180+C181</f>
        <v>134333.33333333334</v>
      </c>
      <c r="D182" s="136">
        <f t="shared" si="40"/>
        <v>190500</v>
      </c>
      <c r="E182" s="136">
        <f t="shared" si="40"/>
        <v>183416.66666666669</v>
      </c>
      <c r="F182" s="136">
        <f t="shared" si="40"/>
        <v>168000</v>
      </c>
      <c r="G182" s="136">
        <f t="shared" si="40"/>
        <v>153250</v>
      </c>
      <c r="H182" s="136">
        <f t="shared" si="40"/>
        <v>138500</v>
      </c>
    </row>
  </sheetData>
  <sheetProtection password="8318" sheet="1"/>
  <mergeCells count="21">
    <mergeCell ref="A182:B182"/>
    <mergeCell ref="A175:B175"/>
    <mergeCell ref="A168:B168"/>
    <mergeCell ref="A29:B29"/>
    <mergeCell ref="A57:B57"/>
    <mergeCell ref="A137:B137"/>
    <mergeCell ref="A40:B40"/>
    <mergeCell ref="A49:B49"/>
    <mergeCell ref="A93:B93"/>
    <mergeCell ref="A60:C60"/>
    <mergeCell ref="A31:B31"/>
    <mergeCell ref="D60:G61"/>
    <mergeCell ref="D72:H73"/>
    <mergeCell ref="A56:B56"/>
    <mergeCell ref="A167:B167"/>
    <mergeCell ref="A4:H4"/>
    <mergeCell ref="A28:B28"/>
    <mergeCell ref="A21:B21"/>
    <mergeCell ref="A12:B12"/>
    <mergeCell ref="A7:B7"/>
    <mergeCell ref="A35:B3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F9E8-A1EE-44B4-B2FD-03EA734D86CA}">
  <sheetPr codeName="Sheet7"/>
  <dimension ref="A1:H106"/>
  <sheetViews>
    <sheetView showGridLines="0" showZeros="0" topLeftCell="A12" zoomScaleNormal="100" workbookViewId="0">
      <selection activeCell="C23" sqref="C23"/>
    </sheetView>
  </sheetViews>
  <sheetFormatPr defaultColWidth="8.6640625" defaultRowHeight="10.199999999999999"/>
  <cols>
    <col min="1" max="1" width="30.5546875" style="56" customWidth="1"/>
    <col min="2" max="2" width="8.664062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6" t="s">
        <v>8</v>
      </c>
      <c r="B4" s="590"/>
      <c r="C4" s="590"/>
      <c r="D4" s="590"/>
      <c r="E4" s="590"/>
      <c r="F4" s="590"/>
      <c r="G4" s="590"/>
      <c r="H4" s="59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186</v>
      </c>
      <c r="B8" s="76"/>
      <c r="C8" s="84">
        <f>Investimento!C29+FundoManeio!C24</f>
        <v>493512.85</v>
      </c>
      <c r="D8" s="84">
        <f>Investimento!D29+FundoManeio!D24</f>
        <v>195821.65040000004</v>
      </c>
      <c r="E8" s="84">
        <f>Investimento!E29+FundoManeio!E24</f>
        <v>195772.69056240004</v>
      </c>
      <c r="F8" s="84">
        <f>Investimento!F29+FundoManeio!F24</f>
        <v>264176.24173662253</v>
      </c>
      <c r="G8" s="84">
        <f>Investimento!G29+FundoManeio!G24</f>
        <v>378557.11321037752</v>
      </c>
      <c r="H8" s="84">
        <f>Investimento!H29+FundoManeio!H24</f>
        <v>536247.96411883342</v>
      </c>
    </row>
    <row r="9" spans="1:8">
      <c r="A9" s="82" t="s">
        <v>390</v>
      </c>
      <c r="B9" s="76"/>
      <c r="C9" s="408"/>
      <c r="D9" s="23">
        <v>0</v>
      </c>
      <c r="E9" s="23">
        <v>0</v>
      </c>
      <c r="F9" s="23">
        <v>0</v>
      </c>
      <c r="G9" s="23">
        <v>0</v>
      </c>
      <c r="H9" s="23">
        <v>0</v>
      </c>
    </row>
    <row r="10" spans="1:8" ht="10.8" thickBot="1">
      <c r="A10" s="147" t="s">
        <v>391</v>
      </c>
      <c r="B10" s="148"/>
      <c r="C10" s="117">
        <f t="shared" ref="C10:H10" si="0">+ROUND(C8*(1+C9),0)</f>
        <v>493513</v>
      </c>
      <c r="D10" s="117">
        <f t="shared" si="0"/>
        <v>195822</v>
      </c>
      <c r="E10" s="117">
        <f t="shared" si="0"/>
        <v>195773</v>
      </c>
      <c r="F10" s="117">
        <f t="shared" si="0"/>
        <v>264176</v>
      </c>
      <c r="G10" s="117">
        <f t="shared" si="0"/>
        <v>378557</v>
      </c>
      <c r="H10" s="117">
        <f t="shared" si="0"/>
        <v>536248</v>
      </c>
    </row>
    <row r="11" spans="1:8" ht="10.8" thickTop="1">
      <c r="A11" s="48"/>
      <c r="B11" s="48"/>
      <c r="C11" s="149"/>
      <c r="D11" s="149"/>
      <c r="E11" s="149"/>
      <c r="F11" s="149"/>
      <c r="G11" s="149"/>
      <c r="H11" s="149"/>
    </row>
    <row r="12" spans="1:8">
      <c r="A12" s="48"/>
      <c r="B12" s="48"/>
      <c r="C12" s="149"/>
      <c r="D12" s="149"/>
      <c r="E12" s="149"/>
      <c r="F12" s="149"/>
      <c r="G12" s="149"/>
      <c r="H12" s="149"/>
    </row>
    <row r="13" spans="1:8">
      <c r="A13" s="73" t="s">
        <v>103</v>
      </c>
      <c r="B13" s="76"/>
      <c r="C13" s="45">
        <f t="shared" ref="C13:H13" si="1">+C7</f>
        <v>2025</v>
      </c>
      <c r="D13" s="45">
        <f t="shared" si="1"/>
        <v>2026</v>
      </c>
      <c r="E13" s="45">
        <f t="shared" si="1"/>
        <v>2027</v>
      </c>
      <c r="F13" s="45">
        <f t="shared" si="1"/>
        <v>2028</v>
      </c>
      <c r="G13" s="45">
        <f t="shared" si="1"/>
        <v>2029</v>
      </c>
      <c r="H13" s="45">
        <f t="shared" si="1"/>
        <v>2030</v>
      </c>
    </row>
    <row r="14" spans="1:8">
      <c r="A14" s="49" t="s">
        <v>77</v>
      </c>
      <c r="B14" s="76"/>
      <c r="C14" s="116">
        <f>IF(+'Cash Flow'!C12&gt;0,'Cash Flow'!C12,0)</f>
        <v>53616.70199999999</v>
      </c>
      <c r="D14" s="116">
        <f>IF(+'Cash Flow'!D12&gt;0,'Cash Flow'!D12,0)</f>
        <v>14318.719000000165</v>
      </c>
      <c r="E14" s="116">
        <f>IF(+'Cash Flow'!E12&gt;0,'Cash Flow'!E12,0)</f>
        <v>116879.14015759996</v>
      </c>
      <c r="F14" s="116">
        <f>IF(+'Cash Flow'!F12&gt;0,'Cash Flow'!F12,0)</f>
        <v>235438.83728713769</v>
      </c>
      <c r="G14" s="116">
        <f>IF(+'Cash Flow'!G12&gt;0,'Cash Flow'!G12,0)</f>
        <v>416752.36675404635</v>
      </c>
      <c r="H14" s="116">
        <f>IF(+'Cash Flow'!H12&gt;0,'Cash Flow'!H12,0)</f>
        <v>640464.62846269179</v>
      </c>
    </row>
    <row r="15" spans="1:8">
      <c r="A15" s="49" t="s">
        <v>174</v>
      </c>
      <c r="B15" s="76"/>
      <c r="C15" s="38">
        <f>0.25*C10</f>
        <v>123378.25</v>
      </c>
      <c r="D15" s="38">
        <v>119592</v>
      </c>
      <c r="E15" s="38"/>
      <c r="F15" s="38"/>
      <c r="G15" s="38"/>
      <c r="H15" s="38"/>
    </row>
    <row r="16" spans="1:8">
      <c r="A16" s="49" t="s">
        <v>278</v>
      </c>
      <c r="B16" s="76"/>
      <c r="C16" s="38"/>
      <c r="D16" s="38"/>
      <c r="E16" s="38"/>
      <c r="F16" s="38"/>
      <c r="G16" s="38"/>
      <c r="H16" s="38"/>
    </row>
    <row r="17" spans="1:8">
      <c r="A17" s="49" t="s">
        <v>187</v>
      </c>
      <c r="B17" s="76"/>
      <c r="C17" s="38"/>
      <c r="D17" s="38"/>
      <c r="E17" s="38">
        <v>78894</v>
      </c>
      <c r="F17" s="38"/>
      <c r="G17" s="38"/>
      <c r="H17" s="38"/>
    </row>
    <row r="18" spans="1:8">
      <c r="A18" s="49" t="s">
        <v>392</v>
      </c>
      <c r="B18" s="63"/>
      <c r="C18" s="528">
        <f>+C10-C15-C16-C17-C19</f>
        <v>370134.75</v>
      </c>
      <c r="D18" s="528">
        <f>0.5*FundoManeio!D24</f>
        <v>61910.825200000021</v>
      </c>
      <c r="E18" s="528"/>
      <c r="F18" s="528"/>
      <c r="G18" s="528"/>
      <c r="H18" s="528"/>
    </row>
    <row r="19" spans="1:8">
      <c r="A19" s="262" t="s">
        <v>393</v>
      </c>
      <c r="B19" s="234"/>
      <c r="C19" s="33"/>
      <c r="D19" s="33"/>
      <c r="E19" s="33"/>
      <c r="F19" s="33"/>
      <c r="G19" s="33"/>
      <c r="H19" s="33"/>
    </row>
    <row r="20" spans="1:8" ht="14.25" customHeight="1" thickBot="1">
      <c r="A20" s="586" t="s">
        <v>63</v>
      </c>
      <c r="B20" s="588"/>
      <c r="C20" s="117">
        <f t="shared" ref="C20:H20" si="2">SUM(C14:C19)</f>
        <v>547129.70200000005</v>
      </c>
      <c r="D20" s="117">
        <f t="shared" si="2"/>
        <v>195821.54420000018</v>
      </c>
      <c r="E20" s="117">
        <f t="shared" si="2"/>
        <v>195773.14015759996</v>
      </c>
      <c r="F20" s="117">
        <f t="shared" si="2"/>
        <v>235438.83728713769</v>
      </c>
      <c r="G20" s="117">
        <f t="shared" si="2"/>
        <v>416752.36675404635</v>
      </c>
      <c r="H20" s="117">
        <f t="shared" si="2"/>
        <v>640464.62846269179</v>
      </c>
    </row>
    <row r="21" spans="1:8" ht="10.8" thickTop="1">
      <c r="A21" s="48"/>
      <c r="B21" s="48"/>
      <c r="C21" s="150"/>
      <c r="D21" s="150"/>
      <c r="E21" s="150"/>
      <c r="F21" s="150"/>
      <c r="G21" s="150"/>
      <c r="H21" s="150"/>
    </row>
    <row r="22" spans="1:8">
      <c r="A22" s="48" t="s">
        <v>394</v>
      </c>
      <c r="B22" s="529">
        <v>5</v>
      </c>
      <c r="C22" s="151"/>
      <c r="D22" s="151"/>
      <c r="E22" s="151"/>
      <c r="F22" s="151"/>
      <c r="G22" s="151"/>
      <c r="H22" s="151"/>
    </row>
    <row r="23" spans="1:8">
      <c r="A23" s="48" t="s">
        <v>499</v>
      </c>
      <c r="B23" s="530">
        <v>3.5000000000000003E-2</v>
      </c>
      <c r="C23" s="151"/>
      <c r="D23" s="151"/>
      <c r="E23" s="151"/>
      <c r="F23" s="151"/>
      <c r="G23" s="151"/>
      <c r="H23" s="151"/>
    </row>
    <row r="24" spans="1:8">
      <c r="A24" s="48" t="s">
        <v>395</v>
      </c>
      <c r="B24" s="529">
        <v>1</v>
      </c>
      <c r="C24" s="151"/>
      <c r="D24" s="151"/>
      <c r="E24" s="151"/>
      <c r="F24" s="151"/>
      <c r="G24" s="151"/>
      <c r="H24" s="151"/>
    </row>
    <row r="25" spans="1:8">
      <c r="A25" s="48"/>
      <c r="B25" s="48"/>
      <c r="C25" s="48"/>
      <c r="D25" s="48"/>
      <c r="E25" s="48"/>
      <c r="F25" s="48"/>
      <c r="G25" s="48"/>
      <c r="H25" s="48"/>
    </row>
    <row r="26" spans="1:8">
      <c r="A26" s="165">
        <f>+C13</f>
        <v>2025</v>
      </c>
      <c r="B26" s="48"/>
      <c r="C26" s="48"/>
      <c r="D26" s="48"/>
      <c r="E26" s="48"/>
      <c r="F26" s="48"/>
      <c r="G26" s="48"/>
      <c r="H26" s="48"/>
    </row>
    <row r="27" spans="1:8">
      <c r="A27" s="49" t="s">
        <v>396</v>
      </c>
      <c r="B27" s="63"/>
      <c r="C27" s="153">
        <f>+C18</f>
        <v>370134.75</v>
      </c>
      <c r="D27" s="116">
        <f>+C33</f>
        <v>370134.75</v>
      </c>
      <c r="E27" s="116">
        <f>+D33</f>
        <v>370134.75</v>
      </c>
      <c r="F27" s="116">
        <f>+E33</f>
        <v>296107.8</v>
      </c>
      <c r="G27" s="116">
        <f>+F33</f>
        <v>222080.84999999998</v>
      </c>
      <c r="H27" s="116">
        <f>+G33</f>
        <v>148053.89999999997</v>
      </c>
    </row>
    <row r="28" spans="1:8">
      <c r="A28" s="49" t="s">
        <v>5</v>
      </c>
      <c r="B28" s="63"/>
      <c r="C28" s="155">
        <f t="shared" ref="C28:H28" si="3">$B$23</f>
        <v>3.5000000000000003E-2</v>
      </c>
      <c r="D28" s="155">
        <f t="shared" si="3"/>
        <v>3.5000000000000003E-2</v>
      </c>
      <c r="E28" s="155">
        <f t="shared" si="3"/>
        <v>3.5000000000000003E-2</v>
      </c>
      <c r="F28" s="155">
        <f t="shared" si="3"/>
        <v>3.5000000000000003E-2</v>
      </c>
      <c r="G28" s="155">
        <f t="shared" si="3"/>
        <v>3.5000000000000003E-2</v>
      </c>
      <c r="H28" s="155">
        <f t="shared" si="3"/>
        <v>3.5000000000000003E-2</v>
      </c>
    </row>
    <row r="29" spans="1:8">
      <c r="A29" s="49" t="s">
        <v>6</v>
      </c>
      <c r="B29" s="63"/>
      <c r="C29" s="116">
        <f>+C27*C28*FSE!F8/12</f>
        <v>12954.716250000003</v>
      </c>
      <c r="D29" s="116">
        <f>+D27*D28</f>
        <v>12954.716250000001</v>
      </c>
      <c r="E29" s="116">
        <f>+E27*E28</f>
        <v>12954.716250000001</v>
      </c>
      <c r="F29" s="116">
        <f>+F27*F28</f>
        <v>10363.773000000001</v>
      </c>
      <c r="G29" s="116">
        <f>+G27*G28</f>
        <v>7772.8297499999999</v>
      </c>
      <c r="H29" s="116">
        <f>+H27*H28</f>
        <v>5181.8864999999996</v>
      </c>
    </row>
    <row r="30" spans="1:8">
      <c r="A30" s="49" t="s">
        <v>7</v>
      </c>
      <c r="B30" s="63"/>
      <c r="C30" s="116">
        <f>IF(B24&gt;=0,0,C27/B22)</f>
        <v>0</v>
      </c>
      <c r="D30" s="116">
        <f>IF(B24&gt;=1,0,IF(C27=0,0,+$C$27/$B$22))</f>
        <v>0</v>
      </c>
      <c r="E30" s="116">
        <f>IF(B24&gt;=2,0,IF(D33&lt;=0,0,+$C$27/$B$22))</f>
        <v>74026.95</v>
      </c>
      <c r="F30" s="116">
        <f>IF(B24&gt;=3,0,IF(E33&lt;=0,0,+$C$27/$B$22))</f>
        <v>74026.95</v>
      </c>
      <c r="G30" s="116">
        <f>IF(B24&gt;=4,0,IF(F33&lt;=0,0,+$C$27/$B$22))</f>
        <v>74026.95</v>
      </c>
      <c r="H30" s="116">
        <f>IF(B24&gt;=5,0,IF(G33&lt;=0,0,+$C$27/$B$22))</f>
        <v>74026.95</v>
      </c>
    </row>
    <row r="31" spans="1:8">
      <c r="A31" s="49" t="s">
        <v>234</v>
      </c>
      <c r="B31" s="63"/>
      <c r="C31" s="116">
        <f t="shared" ref="C31:H31" si="4">+C29*0.04</f>
        <v>518.18865000000017</v>
      </c>
      <c r="D31" s="116">
        <f t="shared" si="4"/>
        <v>518.18865000000005</v>
      </c>
      <c r="E31" s="116">
        <f t="shared" si="4"/>
        <v>518.18865000000005</v>
      </c>
      <c r="F31" s="116">
        <f t="shared" si="4"/>
        <v>414.55092000000008</v>
      </c>
      <c r="G31" s="116">
        <f t="shared" si="4"/>
        <v>310.91318999999999</v>
      </c>
      <c r="H31" s="116">
        <f t="shared" si="4"/>
        <v>207.27545999999998</v>
      </c>
    </row>
    <row r="32" spans="1:8">
      <c r="A32" s="49" t="s">
        <v>397</v>
      </c>
      <c r="B32" s="63"/>
      <c r="C32" s="116">
        <f t="shared" ref="C32:H32" si="5">+C29+C30+C31</f>
        <v>13472.904900000003</v>
      </c>
      <c r="D32" s="116">
        <f t="shared" si="5"/>
        <v>13472.904900000001</v>
      </c>
      <c r="E32" s="116">
        <f t="shared" si="5"/>
        <v>87499.854899999991</v>
      </c>
      <c r="F32" s="116">
        <f t="shared" si="5"/>
        <v>84805.273919999992</v>
      </c>
      <c r="G32" s="116">
        <f t="shared" si="5"/>
        <v>82110.692940000008</v>
      </c>
      <c r="H32" s="116">
        <f t="shared" si="5"/>
        <v>79416.111959999995</v>
      </c>
    </row>
    <row r="33" spans="1:8">
      <c r="A33" s="49" t="s">
        <v>398</v>
      </c>
      <c r="B33" s="63"/>
      <c r="C33" s="157">
        <f t="shared" ref="C33:H33" si="6">+C27-C30</f>
        <v>370134.75</v>
      </c>
      <c r="D33" s="116">
        <f t="shared" si="6"/>
        <v>370134.75</v>
      </c>
      <c r="E33" s="116">
        <f t="shared" si="6"/>
        <v>296107.8</v>
      </c>
      <c r="F33" s="116">
        <f t="shared" si="6"/>
        <v>222080.84999999998</v>
      </c>
      <c r="G33" s="116">
        <f t="shared" si="6"/>
        <v>148053.89999999997</v>
      </c>
      <c r="H33" s="116">
        <f t="shared" si="6"/>
        <v>74026.949999999968</v>
      </c>
    </row>
    <row r="34" spans="1:8">
      <c r="A34" s="48"/>
      <c r="B34" s="48"/>
      <c r="C34" s="48"/>
      <c r="D34" s="48"/>
      <c r="E34" s="48"/>
      <c r="F34" s="48"/>
      <c r="G34" s="48"/>
      <c r="H34" s="48"/>
    </row>
    <row r="35" spans="1:8">
      <c r="A35" s="48" t="s">
        <v>394</v>
      </c>
      <c r="B35" s="529">
        <v>5</v>
      </c>
      <c r="C35" s="48"/>
      <c r="D35" s="48"/>
      <c r="E35" s="48"/>
      <c r="F35" s="48"/>
      <c r="G35" s="48"/>
      <c r="H35" s="48"/>
    </row>
    <row r="36" spans="1:8">
      <c r="A36" s="48" t="s">
        <v>499</v>
      </c>
      <c r="B36" s="530">
        <v>3.5000000000000003E-2</v>
      </c>
      <c r="C36" s="48"/>
      <c r="D36" s="48"/>
      <c r="E36" s="48"/>
      <c r="F36" s="48"/>
      <c r="G36" s="48"/>
      <c r="H36" s="48"/>
    </row>
    <row r="37" spans="1:8">
      <c r="A37" s="48" t="s">
        <v>395</v>
      </c>
      <c r="B37" s="529">
        <v>1</v>
      </c>
      <c r="C37" s="48"/>
      <c r="D37" s="48"/>
      <c r="E37" s="48"/>
      <c r="F37" s="48"/>
      <c r="G37" s="48"/>
      <c r="H37" s="48"/>
    </row>
    <row r="38" spans="1:8">
      <c r="A38" s="48"/>
      <c r="B38" s="48"/>
      <c r="C38" s="48"/>
      <c r="D38" s="48"/>
      <c r="E38" s="48"/>
      <c r="F38" s="48"/>
      <c r="G38" s="48"/>
      <c r="H38" s="48"/>
    </row>
    <row r="39" spans="1:8">
      <c r="A39" s="165">
        <f>+D13</f>
        <v>2026</v>
      </c>
      <c r="B39" s="48"/>
      <c r="C39" s="48"/>
      <c r="D39" s="48"/>
      <c r="E39" s="48"/>
      <c r="F39" s="48"/>
      <c r="G39" s="48"/>
      <c r="H39" s="48"/>
    </row>
    <row r="40" spans="1:8">
      <c r="A40" s="49" t="s">
        <v>396</v>
      </c>
      <c r="B40" s="63"/>
      <c r="C40" s="153"/>
      <c r="D40" s="116">
        <f>+D18</f>
        <v>61910.825200000021</v>
      </c>
      <c r="E40" s="116">
        <f>+D46</f>
        <v>61910.825200000021</v>
      </c>
      <c r="F40" s="116">
        <f>+E46</f>
        <v>61910.825200000021</v>
      </c>
      <c r="G40" s="116">
        <f>+F46</f>
        <v>49528.660160000014</v>
      </c>
      <c r="H40" s="116">
        <f>+G46</f>
        <v>37146.495120000007</v>
      </c>
    </row>
    <row r="41" spans="1:8">
      <c r="A41" s="49" t="s">
        <v>5</v>
      </c>
      <c r="B41" s="63"/>
      <c r="C41" s="154"/>
      <c r="D41" s="155">
        <f>$B$36</f>
        <v>3.5000000000000003E-2</v>
      </c>
      <c r="E41" s="155">
        <f>$B$36</f>
        <v>3.5000000000000003E-2</v>
      </c>
      <c r="F41" s="155">
        <f>$B$36</f>
        <v>3.5000000000000003E-2</v>
      </c>
      <c r="G41" s="155">
        <f>$B$36</f>
        <v>3.5000000000000003E-2</v>
      </c>
      <c r="H41" s="155">
        <f>$B$36</f>
        <v>3.5000000000000003E-2</v>
      </c>
    </row>
    <row r="42" spans="1:8">
      <c r="A42" s="49" t="s">
        <v>6</v>
      </c>
      <c r="B42" s="63"/>
      <c r="C42" s="156"/>
      <c r="D42" s="116">
        <f>+D40*D41</f>
        <v>2166.8788820000009</v>
      </c>
      <c r="E42" s="116">
        <f>+E40*E41</f>
        <v>2166.8788820000009</v>
      </c>
      <c r="F42" s="116">
        <f>+F40*F41</f>
        <v>2166.8788820000009</v>
      </c>
      <c r="G42" s="116">
        <f>+G40*G41</f>
        <v>1733.5031056000007</v>
      </c>
      <c r="H42" s="116">
        <f>+H40*H41</f>
        <v>1300.1273292000003</v>
      </c>
    </row>
    <row r="43" spans="1:8">
      <c r="A43" s="49" t="s">
        <v>7</v>
      </c>
      <c r="B43" s="63"/>
      <c r="C43" s="156"/>
      <c r="D43" s="116">
        <f>IF(B37&gt;=0,0,D40/B35)</f>
        <v>0</v>
      </c>
      <c r="E43" s="116">
        <f>IF(B37&gt;=1,0,IF(D46&lt;=0,0,+$D$40/$B$35))</f>
        <v>0</v>
      </c>
      <c r="F43" s="116">
        <f>IF(B37&gt;=2,0,IF(E46&lt;=0,0,+$D$40/$B$35))</f>
        <v>12382.165040000004</v>
      </c>
      <c r="G43" s="116">
        <f>IF(B37&gt;=3,0,IF(F46&lt;=0,0,+$D$40/$B$35))</f>
        <v>12382.165040000004</v>
      </c>
      <c r="H43" s="116">
        <f>IF(B37&gt;=4,0,IF(G46&lt;=0,0,+$D$40/$B$35))</f>
        <v>12382.165040000004</v>
      </c>
    </row>
    <row r="44" spans="1:8">
      <c r="A44" s="49" t="s">
        <v>234</v>
      </c>
      <c r="B44" s="63"/>
      <c r="C44" s="156"/>
      <c r="D44" s="116">
        <f>+D42*0.04</f>
        <v>86.675155280000041</v>
      </c>
      <c r="E44" s="116">
        <f>+E42*0.04</f>
        <v>86.675155280000041</v>
      </c>
      <c r="F44" s="116">
        <f>+F42*0.04</f>
        <v>86.675155280000041</v>
      </c>
      <c r="G44" s="116">
        <f>+G42*0.04</f>
        <v>69.340124224000036</v>
      </c>
      <c r="H44" s="116">
        <f>+H42*0.04</f>
        <v>52.005093168000016</v>
      </c>
    </row>
    <row r="45" spans="1:8">
      <c r="A45" s="49" t="s">
        <v>397</v>
      </c>
      <c r="B45" s="63"/>
      <c r="C45" s="156"/>
      <c r="D45" s="116">
        <f>+D42+D43+D44</f>
        <v>2253.554037280001</v>
      </c>
      <c r="E45" s="116">
        <f>+E42+E43+E44</f>
        <v>2253.554037280001</v>
      </c>
      <c r="F45" s="116">
        <f>+F42+F43+F44</f>
        <v>14635.719077280004</v>
      </c>
      <c r="G45" s="116">
        <f>+G42+G43+G44</f>
        <v>14185.008269824004</v>
      </c>
      <c r="H45" s="116">
        <f>+H42+H43+H44</f>
        <v>13734.297462368004</v>
      </c>
    </row>
    <row r="46" spans="1:8">
      <c r="A46" s="49" t="s">
        <v>398</v>
      </c>
      <c r="B46" s="63"/>
      <c r="C46" s="102"/>
      <c r="D46" s="116">
        <f>+D40-D43</f>
        <v>61910.825200000021</v>
      </c>
      <c r="E46" s="116">
        <f>+E40-E43</f>
        <v>61910.825200000021</v>
      </c>
      <c r="F46" s="116">
        <f>+F40-F43</f>
        <v>49528.660160000014</v>
      </c>
      <c r="G46" s="116">
        <f>+G40-G43</f>
        <v>37146.495120000007</v>
      </c>
      <c r="H46" s="116">
        <f>+H40-H43</f>
        <v>24764.330080000003</v>
      </c>
    </row>
    <row r="47" spans="1:8">
      <c r="A47" s="48"/>
      <c r="B47" s="48"/>
      <c r="C47" s="48"/>
      <c r="D47" s="48"/>
      <c r="E47" s="48"/>
      <c r="F47" s="48"/>
      <c r="G47" s="48"/>
      <c r="H47" s="48"/>
    </row>
    <row r="48" spans="1:8">
      <c r="A48" s="48" t="s">
        <v>394</v>
      </c>
      <c r="B48" s="529">
        <v>4</v>
      </c>
      <c r="C48" s="48"/>
      <c r="D48" s="48"/>
      <c r="E48" s="48"/>
      <c r="F48" s="48"/>
      <c r="G48" s="48"/>
      <c r="H48" s="48"/>
    </row>
    <row r="49" spans="1:8">
      <c r="A49" s="48" t="s">
        <v>499</v>
      </c>
      <c r="B49" s="531">
        <v>3.5000000000000003E-2</v>
      </c>
      <c r="C49" s="48"/>
      <c r="D49" s="48"/>
      <c r="E49" s="48"/>
      <c r="F49" s="48"/>
      <c r="G49" s="48"/>
      <c r="H49" s="48"/>
    </row>
    <row r="50" spans="1:8">
      <c r="A50" s="48" t="s">
        <v>395</v>
      </c>
      <c r="B50" s="529">
        <v>0</v>
      </c>
      <c r="C50" s="48"/>
      <c r="D50" s="48"/>
      <c r="E50" s="48"/>
      <c r="F50" s="48"/>
      <c r="G50" s="48"/>
      <c r="H50" s="48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165">
        <f>+E13</f>
        <v>2027</v>
      </c>
      <c r="B52" s="48"/>
      <c r="C52" s="48"/>
      <c r="D52" s="48"/>
      <c r="E52" s="48"/>
      <c r="F52" s="48"/>
      <c r="G52" s="48"/>
      <c r="H52" s="48"/>
    </row>
    <row r="53" spans="1:8">
      <c r="A53" s="49" t="s">
        <v>396</v>
      </c>
      <c r="B53" s="63"/>
      <c r="C53" s="158"/>
      <c r="D53" s="164"/>
      <c r="E53" s="116">
        <f>+E18</f>
        <v>0</v>
      </c>
      <c r="F53" s="116">
        <f>+E59</f>
        <v>0</v>
      </c>
      <c r="G53" s="116">
        <f>+F59</f>
        <v>0</v>
      </c>
      <c r="H53" s="116">
        <f>+G59</f>
        <v>0</v>
      </c>
    </row>
    <row r="54" spans="1:8">
      <c r="A54" s="49" t="s">
        <v>5</v>
      </c>
      <c r="B54" s="63"/>
      <c r="C54" s="160"/>
      <c r="D54" s="161"/>
      <c r="E54" s="155">
        <f>$B$49</f>
        <v>3.5000000000000003E-2</v>
      </c>
      <c r="F54" s="155">
        <f>$B$49</f>
        <v>3.5000000000000003E-2</v>
      </c>
      <c r="G54" s="155">
        <f>$B$49</f>
        <v>3.5000000000000003E-2</v>
      </c>
      <c r="H54" s="155">
        <f>$B$49</f>
        <v>3.5000000000000003E-2</v>
      </c>
    </row>
    <row r="55" spans="1:8">
      <c r="A55" s="49" t="s">
        <v>6</v>
      </c>
      <c r="B55" s="63"/>
      <c r="C55" s="162"/>
      <c r="D55" s="163"/>
      <c r="E55" s="116">
        <f>+E53*E54</f>
        <v>0</v>
      </c>
      <c r="F55" s="157">
        <f>+F53*F54</f>
        <v>0</v>
      </c>
      <c r="G55" s="157">
        <f>+G53*G54</f>
        <v>0</v>
      </c>
      <c r="H55" s="157">
        <f>+H53*H54</f>
        <v>0</v>
      </c>
    </row>
    <row r="56" spans="1:8">
      <c r="A56" s="49" t="s">
        <v>7</v>
      </c>
      <c r="B56" s="63"/>
      <c r="C56" s="162"/>
      <c r="D56" s="163"/>
      <c r="E56" s="116">
        <f>IF(B50&gt;=0,0,E53/B48)</f>
        <v>0</v>
      </c>
      <c r="F56" s="116">
        <f>IF(B50&gt;=1,0,IF(E59&lt;=9,0,$E$53/$B$48))</f>
        <v>0</v>
      </c>
      <c r="G56" s="116">
        <f>IF(B50&gt;=2,0,IF(F59&lt;=9,0,$E$53/$B$48))</f>
        <v>0</v>
      </c>
      <c r="H56" s="116">
        <f>IF(B50&gt;=3,0,IF(G59&lt;=9,0,$E$53/$B$48))</f>
        <v>0</v>
      </c>
    </row>
    <row r="57" spans="1:8">
      <c r="A57" s="49" t="s">
        <v>234</v>
      </c>
      <c r="B57" s="63"/>
      <c r="C57" s="162"/>
      <c r="D57" s="163"/>
      <c r="E57" s="116">
        <f>+E55*0.04</f>
        <v>0</v>
      </c>
      <c r="F57" s="116">
        <f>+F55*0.04</f>
        <v>0</v>
      </c>
      <c r="G57" s="116">
        <f>+G55*0.04</f>
        <v>0</v>
      </c>
      <c r="H57" s="116">
        <f>+H55*0.04</f>
        <v>0</v>
      </c>
    </row>
    <row r="58" spans="1:8">
      <c r="A58" s="49" t="s">
        <v>397</v>
      </c>
      <c r="B58" s="63"/>
      <c r="C58" s="162"/>
      <c r="D58" s="163"/>
      <c r="E58" s="116">
        <f>+E55+E56+E57</f>
        <v>0</v>
      </c>
      <c r="F58" s="157">
        <f>+F55+F56+F57</f>
        <v>0</v>
      </c>
      <c r="G58" s="157">
        <f>+G55+G56+G57</f>
        <v>0</v>
      </c>
      <c r="H58" s="157">
        <f>+H55+H56+H57</f>
        <v>0</v>
      </c>
    </row>
    <row r="59" spans="1:8">
      <c r="A59" s="49" t="s">
        <v>399</v>
      </c>
      <c r="B59" s="63"/>
      <c r="C59" s="102"/>
      <c r="D59" s="163"/>
      <c r="E59" s="116">
        <f>+E53-E56</f>
        <v>0</v>
      </c>
      <c r="F59" s="157">
        <f>+F53-F56</f>
        <v>0</v>
      </c>
      <c r="G59" s="157">
        <f>+G53-G56</f>
        <v>0</v>
      </c>
      <c r="H59" s="157">
        <f>+H53-H56</f>
        <v>0</v>
      </c>
    </row>
    <row r="60" spans="1:8">
      <c r="A60" s="48"/>
      <c r="B60" s="48"/>
      <c r="C60" s="48"/>
      <c r="D60" s="48"/>
      <c r="E60" s="48"/>
      <c r="F60" s="48"/>
      <c r="G60" s="48"/>
      <c r="H60" s="48"/>
    </row>
    <row r="61" spans="1:8">
      <c r="A61" s="48" t="s">
        <v>394</v>
      </c>
      <c r="B61" s="529">
        <v>3</v>
      </c>
      <c r="C61" s="48"/>
      <c r="D61" s="48"/>
      <c r="E61" s="48"/>
      <c r="F61" s="48"/>
      <c r="G61" s="48"/>
      <c r="H61" s="48"/>
    </row>
    <row r="62" spans="1:8">
      <c r="A62" s="48" t="s">
        <v>499</v>
      </c>
      <c r="B62" s="531">
        <v>3.5000000000000003E-2</v>
      </c>
      <c r="C62" s="48"/>
      <c r="D62" s="48"/>
      <c r="E62" s="48"/>
      <c r="F62" s="48"/>
      <c r="G62" s="48"/>
      <c r="H62" s="48"/>
    </row>
    <row r="63" spans="1:8">
      <c r="A63" s="48" t="s">
        <v>395</v>
      </c>
      <c r="B63" s="529">
        <v>0</v>
      </c>
      <c r="C63" s="48"/>
      <c r="D63" s="48"/>
      <c r="E63" s="48"/>
      <c r="F63" s="48"/>
      <c r="G63" s="48"/>
      <c r="H63" s="48"/>
    </row>
    <row r="64" spans="1:8">
      <c r="A64" s="48"/>
      <c r="B64" s="318"/>
      <c r="C64" s="48"/>
      <c r="D64" s="48"/>
      <c r="E64" s="48"/>
      <c r="F64" s="48"/>
      <c r="G64" s="48"/>
      <c r="H64" s="48"/>
    </row>
    <row r="65" spans="1:8">
      <c r="A65" s="165">
        <f>+F13</f>
        <v>2028</v>
      </c>
      <c r="B65" s="48"/>
      <c r="C65" s="48"/>
      <c r="D65" s="48"/>
      <c r="E65" s="48"/>
      <c r="F65" s="48"/>
      <c r="G65" s="48"/>
      <c r="H65" s="48"/>
    </row>
    <row r="66" spans="1:8">
      <c r="A66" s="49" t="s">
        <v>396</v>
      </c>
      <c r="B66" s="63"/>
      <c r="C66" s="158"/>
      <c r="D66" s="164"/>
      <c r="E66" s="159"/>
      <c r="F66" s="116">
        <f>+F18</f>
        <v>0</v>
      </c>
      <c r="G66" s="116">
        <f>+F72</f>
        <v>0</v>
      </c>
      <c r="H66" s="116">
        <f>+G72</f>
        <v>0</v>
      </c>
    </row>
    <row r="67" spans="1:8">
      <c r="A67" s="49" t="s">
        <v>5</v>
      </c>
      <c r="B67" s="63"/>
      <c r="C67" s="160"/>
      <c r="D67" s="161"/>
      <c r="E67" s="161"/>
      <c r="F67" s="155">
        <f>$B$62</f>
        <v>3.5000000000000003E-2</v>
      </c>
      <c r="G67" s="155">
        <f>$B$62</f>
        <v>3.5000000000000003E-2</v>
      </c>
      <c r="H67" s="155">
        <f>$B$62</f>
        <v>3.5000000000000003E-2</v>
      </c>
    </row>
    <row r="68" spans="1:8">
      <c r="A68" s="49" t="s">
        <v>6</v>
      </c>
      <c r="B68" s="63"/>
      <c r="C68" s="162"/>
      <c r="D68" s="163"/>
      <c r="E68" s="163"/>
      <c r="F68" s="116">
        <f>+F66*F67</f>
        <v>0</v>
      </c>
      <c r="G68" s="157">
        <f>+G66*G67</f>
        <v>0</v>
      </c>
      <c r="H68" s="157">
        <f>+H66*H67</f>
        <v>0</v>
      </c>
    </row>
    <row r="69" spans="1:8">
      <c r="A69" s="49" t="s">
        <v>7</v>
      </c>
      <c r="B69" s="63"/>
      <c r="C69" s="162"/>
      <c r="D69" s="163"/>
      <c r="E69" s="163"/>
      <c r="F69" s="116">
        <f>IF(B63&gt;=0,0,F66/B61)</f>
        <v>0</v>
      </c>
      <c r="G69" s="157">
        <f>IF(B63&gt;=1,0,IF(F72&lt;=0,0,$F$66/$B$61))</f>
        <v>0</v>
      </c>
      <c r="H69" s="157">
        <f>IF(B63&gt;=2,0,IF(G72&lt;=0,0,$F$66/$B$61))</f>
        <v>0</v>
      </c>
    </row>
    <row r="70" spans="1:8">
      <c r="A70" s="49" t="s">
        <v>234</v>
      </c>
      <c r="B70" s="63"/>
      <c r="C70" s="162"/>
      <c r="D70" s="163"/>
      <c r="E70" s="163"/>
      <c r="F70" s="116">
        <f>+F68*0.04</f>
        <v>0</v>
      </c>
      <c r="G70" s="116">
        <f>+G68*0.04</f>
        <v>0</v>
      </c>
      <c r="H70" s="116">
        <f>+H68*0.04</f>
        <v>0</v>
      </c>
    </row>
    <row r="71" spans="1:8">
      <c r="A71" s="49" t="s">
        <v>397</v>
      </c>
      <c r="B71" s="63"/>
      <c r="C71" s="162"/>
      <c r="D71" s="163"/>
      <c r="E71" s="163"/>
      <c r="F71" s="116">
        <f>+F68+F69+F70</f>
        <v>0</v>
      </c>
      <c r="G71" s="157">
        <f>+G68+G69+G70</f>
        <v>0</v>
      </c>
      <c r="H71" s="157">
        <f>+H68+H69+H70</f>
        <v>0</v>
      </c>
    </row>
    <row r="72" spans="1:8">
      <c r="A72" s="49" t="s">
        <v>398</v>
      </c>
      <c r="B72" s="63"/>
      <c r="C72" s="102"/>
      <c r="D72" s="163"/>
      <c r="E72" s="163"/>
      <c r="F72" s="116">
        <f>+F66-F69</f>
        <v>0</v>
      </c>
      <c r="G72" s="157">
        <f>+G66-G69</f>
        <v>0</v>
      </c>
      <c r="H72" s="157">
        <f>+H66-H69</f>
        <v>0</v>
      </c>
    </row>
    <row r="73" spans="1:8">
      <c r="A73" s="48"/>
      <c r="B73" s="48"/>
      <c r="C73" s="48"/>
      <c r="D73" s="48"/>
      <c r="E73" s="48"/>
      <c r="F73" s="48"/>
      <c r="G73" s="48"/>
      <c r="H73" s="48"/>
    </row>
    <row r="74" spans="1:8">
      <c r="A74" s="48" t="s">
        <v>394</v>
      </c>
      <c r="B74" s="529">
        <v>2</v>
      </c>
      <c r="C74" s="48"/>
      <c r="D74" s="48"/>
      <c r="E74" s="48"/>
      <c r="F74" s="48"/>
      <c r="G74" s="48"/>
      <c r="H74" s="48"/>
    </row>
    <row r="75" spans="1:8">
      <c r="A75" s="48" t="s">
        <v>499</v>
      </c>
      <c r="B75" s="531">
        <v>3.5000000000000003E-2</v>
      </c>
      <c r="C75" s="48"/>
      <c r="D75" s="48"/>
      <c r="E75" s="48"/>
      <c r="F75" s="48"/>
      <c r="G75" s="48"/>
      <c r="H75" s="48"/>
    </row>
    <row r="76" spans="1:8">
      <c r="A76" s="48" t="s">
        <v>395</v>
      </c>
      <c r="B76" s="529">
        <v>0</v>
      </c>
      <c r="C76" s="48"/>
      <c r="D76" s="48"/>
      <c r="E76" s="48"/>
      <c r="F76" s="48"/>
      <c r="G76" s="48"/>
      <c r="H76" s="48"/>
    </row>
    <row r="77" spans="1:8">
      <c r="A77" s="48"/>
      <c r="B77" s="48"/>
      <c r="C77" s="48"/>
      <c r="D77" s="48"/>
      <c r="E77" s="48"/>
      <c r="F77" s="48"/>
      <c r="G77" s="48"/>
      <c r="H77" s="48"/>
    </row>
    <row r="78" spans="1:8">
      <c r="A78" s="165">
        <f>+G13</f>
        <v>2029</v>
      </c>
      <c r="B78" s="48"/>
      <c r="C78" s="48"/>
      <c r="D78" s="48"/>
      <c r="E78" s="48"/>
      <c r="F78" s="48"/>
      <c r="G78" s="48"/>
      <c r="H78" s="48"/>
    </row>
    <row r="79" spans="1:8">
      <c r="A79" s="49" t="s">
        <v>396</v>
      </c>
      <c r="B79" s="63"/>
      <c r="C79" s="158"/>
      <c r="D79" s="164"/>
      <c r="E79" s="163"/>
      <c r="F79" s="164"/>
      <c r="G79" s="116">
        <f>+G18</f>
        <v>0</v>
      </c>
      <c r="H79" s="116">
        <f>+G85</f>
        <v>0</v>
      </c>
    </row>
    <row r="80" spans="1:8">
      <c r="A80" s="49" t="s">
        <v>5</v>
      </c>
      <c r="B80" s="63"/>
      <c r="C80" s="160"/>
      <c r="D80" s="161"/>
      <c r="E80" s="161"/>
      <c r="F80" s="161"/>
      <c r="G80" s="155">
        <f>B75</f>
        <v>3.5000000000000003E-2</v>
      </c>
      <c r="H80" s="155">
        <f>B75</f>
        <v>3.5000000000000003E-2</v>
      </c>
    </row>
    <row r="81" spans="1:8">
      <c r="A81" s="49" t="s">
        <v>6</v>
      </c>
      <c r="B81" s="63"/>
      <c r="C81" s="162"/>
      <c r="D81" s="163"/>
      <c r="E81" s="163"/>
      <c r="F81" s="163"/>
      <c r="G81" s="116">
        <f>+G79*G80</f>
        <v>0</v>
      </c>
      <c r="H81" s="157">
        <f>+H79*H80</f>
        <v>0</v>
      </c>
    </row>
    <row r="82" spans="1:8">
      <c r="A82" s="49" t="s">
        <v>7</v>
      </c>
      <c r="B82" s="63"/>
      <c r="C82" s="162"/>
      <c r="D82" s="163"/>
      <c r="E82" s="163"/>
      <c r="F82" s="163"/>
      <c r="G82" s="116">
        <f>IF(B76&gt;=0,0,G79/B74)</f>
        <v>0</v>
      </c>
      <c r="H82" s="157">
        <f>IF(B76&gt;=1,0,IF(G85&lt;=0,0,$G$79/B74))</f>
        <v>0</v>
      </c>
    </row>
    <row r="83" spans="1:8">
      <c r="A83" s="49" t="s">
        <v>234</v>
      </c>
      <c r="B83" s="63"/>
      <c r="C83" s="162"/>
      <c r="D83" s="163"/>
      <c r="E83" s="163"/>
      <c r="F83" s="163"/>
      <c r="G83" s="116">
        <f>+G81*0.04</f>
        <v>0</v>
      </c>
      <c r="H83" s="116">
        <f>+H81*0.04</f>
        <v>0</v>
      </c>
    </row>
    <row r="84" spans="1:8">
      <c r="A84" s="49" t="s">
        <v>397</v>
      </c>
      <c r="B84" s="63"/>
      <c r="C84" s="162"/>
      <c r="D84" s="163"/>
      <c r="E84" s="163"/>
      <c r="F84" s="163"/>
      <c r="G84" s="116">
        <f>+G81+G82+G83</f>
        <v>0</v>
      </c>
      <c r="H84" s="157">
        <f>+H81+H82+H83</f>
        <v>0</v>
      </c>
    </row>
    <row r="85" spans="1:8">
      <c r="A85" s="49" t="s">
        <v>398</v>
      </c>
      <c r="B85" s="63"/>
      <c r="C85" s="102"/>
      <c r="D85" s="163"/>
      <c r="E85" s="163"/>
      <c r="F85" s="163"/>
      <c r="G85" s="116">
        <f>+G79-G82</f>
        <v>0</v>
      </c>
      <c r="H85" s="116">
        <f>+H79-H82</f>
        <v>0</v>
      </c>
    </row>
    <row r="86" spans="1:8">
      <c r="A86" s="48"/>
      <c r="B86" s="48"/>
      <c r="C86" s="48"/>
      <c r="D86" s="48"/>
      <c r="E86" s="48"/>
      <c r="F86" s="48"/>
      <c r="G86" s="48"/>
      <c r="H86" s="48"/>
    </row>
    <row r="87" spans="1:8">
      <c r="A87" s="48" t="s">
        <v>394</v>
      </c>
      <c r="B87" s="529">
        <v>1</v>
      </c>
      <c r="C87" s="48"/>
      <c r="D87" s="48"/>
      <c r="E87" s="48"/>
      <c r="F87" s="48"/>
      <c r="G87" s="48"/>
      <c r="H87" s="48"/>
    </row>
    <row r="88" spans="1:8">
      <c r="A88" s="48" t="s">
        <v>499</v>
      </c>
      <c r="B88" s="531">
        <v>3.5000000000000003E-2</v>
      </c>
      <c r="C88" s="48"/>
      <c r="D88" s="48"/>
      <c r="E88" s="48"/>
      <c r="F88" s="48"/>
      <c r="G88" s="48"/>
      <c r="H88" s="48"/>
    </row>
    <row r="89" spans="1:8">
      <c r="A89" s="48" t="s">
        <v>395</v>
      </c>
      <c r="B89" s="529">
        <v>0</v>
      </c>
      <c r="C89" s="48"/>
      <c r="D89" s="48"/>
      <c r="E89" s="48"/>
      <c r="F89" s="48"/>
      <c r="G89" s="48"/>
      <c r="H89" s="48"/>
    </row>
    <row r="90" spans="1:8">
      <c r="A90" s="48"/>
      <c r="B90" s="318"/>
      <c r="C90" s="48"/>
      <c r="D90" s="48"/>
      <c r="E90" s="48"/>
      <c r="F90" s="48"/>
      <c r="G90" s="48"/>
      <c r="H90" s="48"/>
    </row>
    <row r="91" spans="1:8">
      <c r="A91" s="165">
        <f>+H13</f>
        <v>2030</v>
      </c>
      <c r="B91" s="48"/>
      <c r="C91" s="48"/>
      <c r="D91" s="48"/>
      <c r="E91" s="48"/>
      <c r="F91" s="48"/>
      <c r="G91" s="48"/>
      <c r="H91" s="48"/>
    </row>
    <row r="92" spans="1:8">
      <c r="A92" s="49" t="s">
        <v>396</v>
      </c>
      <c r="B92" s="63"/>
      <c r="C92" s="158"/>
      <c r="D92" s="164"/>
      <c r="E92" s="164"/>
      <c r="F92" s="164"/>
      <c r="G92" s="164"/>
      <c r="H92" s="116">
        <f>+H18</f>
        <v>0</v>
      </c>
    </row>
    <row r="93" spans="1:8">
      <c r="A93" s="49" t="s">
        <v>5</v>
      </c>
      <c r="B93" s="63"/>
      <c r="C93" s="160"/>
      <c r="D93" s="161"/>
      <c r="E93" s="161"/>
      <c r="F93" s="161"/>
      <c r="G93" s="161"/>
      <c r="H93" s="155">
        <f>B88</f>
        <v>3.5000000000000003E-2</v>
      </c>
    </row>
    <row r="94" spans="1:8">
      <c r="A94" s="49" t="s">
        <v>6</v>
      </c>
      <c r="B94" s="63"/>
      <c r="C94" s="162"/>
      <c r="D94" s="163"/>
      <c r="E94" s="163"/>
      <c r="F94" s="163"/>
      <c r="G94" s="163"/>
      <c r="H94" s="116">
        <f>+H92*H93</f>
        <v>0</v>
      </c>
    </row>
    <row r="95" spans="1:8">
      <c r="A95" s="49" t="s">
        <v>7</v>
      </c>
      <c r="B95" s="63"/>
      <c r="C95" s="162"/>
      <c r="D95" s="163"/>
      <c r="E95" s="163"/>
      <c r="F95" s="163"/>
      <c r="G95" s="163"/>
      <c r="H95" s="116">
        <f>IF(B89&gt;=0,0,H92/B87)</f>
        <v>0</v>
      </c>
    </row>
    <row r="96" spans="1:8">
      <c r="A96" s="49" t="s">
        <v>234</v>
      </c>
      <c r="B96" s="63"/>
      <c r="C96" s="162"/>
      <c r="D96" s="163"/>
      <c r="E96" s="163"/>
      <c r="F96" s="163"/>
      <c r="G96" s="163"/>
      <c r="H96" s="116">
        <f>+H94*0.04</f>
        <v>0</v>
      </c>
    </row>
    <row r="97" spans="1:8">
      <c r="A97" s="49" t="s">
        <v>397</v>
      </c>
      <c r="B97" s="63"/>
      <c r="C97" s="162"/>
      <c r="D97" s="163"/>
      <c r="E97" s="163"/>
      <c r="F97" s="163"/>
      <c r="G97" s="163"/>
      <c r="H97" s="116">
        <f>+H94+H95+H96</f>
        <v>0</v>
      </c>
    </row>
    <row r="98" spans="1:8">
      <c r="A98" s="49" t="s">
        <v>398</v>
      </c>
      <c r="B98" s="63"/>
      <c r="C98" s="102"/>
      <c r="D98" s="163"/>
      <c r="E98" s="163"/>
      <c r="F98" s="163"/>
      <c r="G98" s="163"/>
      <c r="H98" s="116">
        <f>+H92-H95</f>
        <v>0</v>
      </c>
    </row>
    <row r="99" spans="1:8">
      <c r="A99" s="48"/>
      <c r="B99" s="48"/>
      <c r="C99" s="48"/>
      <c r="D99" s="48"/>
      <c r="E99" s="48"/>
      <c r="F99" s="48"/>
      <c r="G99" s="48"/>
      <c r="H99" s="48"/>
    </row>
    <row r="100" spans="1:8">
      <c r="A100" s="48"/>
      <c r="B100" s="48"/>
      <c r="C100" s="48"/>
      <c r="D100" s="125"/>
      <c r="E100" s="48"/>
      <c r="F100" s="48"/>
      <c r="G100" s="48"/>
      <c r="H100" s="48"/>
    </row>
    <row r="101" spans="1:8">
      <c r="A101" s="73" t="s">
        <v>400</v>
      </c>
      <c r="B101" s="76"/>
      <c r="C101" s="84">
        <f t="shared" ref="C101:H101" si="7">+C33+C46+C59+C72+C85+C98</f>
        <v>370134.75</v>
      </c>
      <c r="D101" s="84">
        <f t="shared" si="7"/>
        <v>432045.57520000002</v>
      </c>
      <c r="E101" s="84">
        <f t="shared" si="7"/>
        <v>358018.62520000001</v>
      </c>
      <c r="F101" s="84">
        <f t="shared" si="7"/>
        <v>271609.51016000001</v>
      </c>
      <c r="G101" s="84">
        <f t="shared" si="7"/>
        <v>185200.39511999997</v>
      </c>
      <c r="H101" s="84">
        <f t="shared" si="7"/>
        <v>98791.280079999968</v>
      </c>
    </row>
    <row r="102" spans="1:8">
      <c r="A102" s="48"/>
      <c r="B102" s="48"/>
      <c r="C102" s="48"/>
      <c r="D102" s="48"/>
      <c r="E102" s="48"/>
      <c r="F102" s="48"/>
      <c r="G102" s="48"/>
      <c r="H102" s="48"/>
    </row>
    <row r="103" spans="1:8">
      <c r="A103" s="73" t="s">
        <v>401</v>
      </c>
      <c r="B103" s="76"/>
      <c r="C103" s="84">
        <f t="shared" ref="C103:H103" si="8">+C29+C42+C55+C68+C81+C94+C31+C44+C57+C70+C83+C96</f>
        <v>13472.904900000003</v>
      </c>
      <c r="D103" s="84">
        <f t="shared" si="8"/>
        <v>15726.458937280002</v>
      </c>
      <c r="E103" s="84">
        <f t="shared" si="8"/>
        <v>15726.458937280002</v>
      </c>
      <c r="F103" s="84">
        <f t="shared" si="8"/>
        <v>13031.877957280001</v>
      </c>
      <c r="G103" s="84">
        <f t="shared" si="8"/>
        <v>9886.5861698240005</v>
      </c>
      <c r="H103" s="84">
        <f t="shared" si="8"/>
        <v>6741.2943823679998</v>
      </c>
    </row>
    <row r="104" spans="1:8">
      <c r="A104" s="73" t="s">
        <v>80</v>
      </c>
      <c r="B104" s="76"/>
      <c r="C104" s="84">
        <f t="shared" ref="C104:H104" si="9">+C30+C43+C56+C69+C82+C95</f>
        <v>0</v>
      </c>
      <c r="D104" s="84">
        <f t="shared" si="9"/>
        <v>0</v>
      </c>
      <c r="E104" s="84">
        <f t="shared" si="9"/>
        <v>74026.95</v>
      </c>
      <c r="F104" s="84">
        <f t="shared" si="9"/>
        <v>86409.115040000004</v>
      </c>
      <c r="G104" s="84">
        <f t="shared" si="9"/>
        <v>86409.115040000004</v>
      </c>
      <c r="H104" s="84">
        <f t="shared" si="9"/>
        <v>86409.115040000004</v>
      </c>
    </row>
    <row r="106" spans="1:8">
      <c r="E106" s="126"/>
      <c r="F106" s="126"/>
      <c r="G106" s="126"/>
      <c r="H106" s="126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817F-D88A-424D-9ED0-21B158615024}">
  <sheetPr codeName="Sheet12"/>
  <dimension ref="A1:G13"/>
  <sheetViews>
    <sheetView showGridLines="0" showZeros="0" zoomScaleNormal="100" workbookViewId="0">
      <selection activeCell="B20" sqref="B20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6" t="s">
        <v>208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95" t="str">
        <f>DR!A8</f>
        <v>Vendas e Serviços Prestados</v>
      </c>
      <c r="B8" s="308">
        <f>DR!B8</f>
        <v>1620700</v>
      </c>
      <c r="C8" s="308">
        <f>DR!C8</f>
        <v>2258781.8000000003</v>
      </c>
      <c r="D8" s="308">
        <f>DR!D8</f>
        <v>3151896.7356000002</v>
      </c>
      <c r="E8" s="308">
        <f>DR!E8</f>
        <v>4404319.6768520009</v>
      </c>
      <c r="F8" s="308">
        <f>DR!F8</f>
        <v>6162202.5628032116</v>
      </c>
      <c r="G8" s="308">
        <f>DR!G8</f>
        <v>8632115.6414338294</v>
      </c>
    </row>
    <row r="9" spans="1:7">
      <c r="A9" s="82" t="str">
        <f>DR!A11</f>
        <v>Variação nos Inventários da Produção</v>
      </c>
      <c r="B9" s="308">
        <f>DR!B11</f>
        <v>0</v>
      </c>
      <c r="C9" s="308">
        <f>DR!C11</f>
        <v>0</v>
      </c>
      <c r="D9" s="308">
        <f>DR!D11</f>
        <v>0</v>
      </c>
      <c r="E9" s="308">
        <f>DR!E11</f>
        <v>0</v>
      </c>
      <c r="F9" s="308">
        <f>DR!F11</f>
        <v>0</v>
      </c>
      <c r="G9" s="308">
        <f>DR!G11</f>
        <v>0</v>
      </c>
    </row>
    <row r="10" spans="1:7">
      <c r="A10" s="82" t="s">
        <v>15</v>
      </c>
      <c r="B10" s="308">
        <f>DR!B13</f>
        <v>1299760</v>
      </c>
      <c r="C10" s="308">
        <f>DR!C13</f>
        <v>1835661.36</v>
      </c>
      <c r="D10" s="308">
        <f>DR!D13</f>
        <v>2594279.4321600003</v>
      </c>
      <c r="E10" s="308">
        <f>DR!E13</f>
        <v>3668769.3724905606</v>
      </c>
      <c r="F10" s="308">
        <f>DR!F13</f>
        <v>5191450.1072199428</v>
      </c>
      <c r="G10" s="308">
        <f>DR!G13</f>
        <v>7350336.0629304154</v>
      </c>
    </row>
    <row r="11" spans="1:7">
      <c r="A11" s="82" t="s">
        <v>206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</row>
    <row r="12" spans="1:7">
      <c r="A12" s="306" t="s">
        <v>205</v>
      </c>
      <c r="B12" s="309">
        <f t="shared" ref="B12:G12" si="0">B8+B9-B10-B11</f>
        <v>320940</v>
      </c>
      <c r="C12" s="309">
        <f t="shared" si="0"/>
        <v>423120.44000000018</v>
      </c>
      <c r="D12" s="309">
        <f t="shared" si="0"/>
        <v>557617.30343999993</v>
      </c>
      <c r="E12" s="309">
        <f t="shared" si="0"/>
        <v>735550.30436144024</v>
      </c>
      <c r="F12" s="309">
        <f t="shared" si="0"/>
        <v>970752.45558326878</v>
      </c>
      <c r="G12" s="309">
        <f t="shared" si="0"/>
        <v>1281779.5785034141</v>
      </c>
    </row>
    <row r="13" spans="1:7">
      <c r="A13" s="307" t="s">
        <v>207</v>
      </c>
      <c r="B13" s="354">
        <f>IF(B8&gt;0,(FSE!F45+DR!B15+DR!B24+DR!B25+DR!B18)/(B12/'Ponto Crítico'!B8),"")</f>
        <v>1346153.9384516319</v>
      </c>
      <c r="C13" s="354">
        <f>IF(C8&gt;0,(FSE!G45+DR!C15+DR!C24+DR!C25+DR!C18)/(C12/'Ponto Crítico'!C8),"")</f>
        <v>2269016.7386848019</v>
      </c>
      <c r="D13" s="354">
        <f>IF(D8&gt;0,(FSE!H45+DR!D15+DR!D24+DR!D25+DR!D18)/(D12/'Ponto Crítico'!D8),"")</f>
        <v>2437859.3668887326</v>
      </c>
      <c r="E13" s="354">
        <f>IF(E8&gt;0,(FSE!I45+DR!E15+DR!E24+DR!E25+DR!E18)/(E12/'Ponto Crítico'!E8),"")</f>
        <v>2736666.2212399566</v>
      </c>
      <c r="F13" s="354">
        <f>IF(F8&gt;0,(FSE!J45+DR!F15+DR!F24+DR!F25+DR!F18)/(F12/'Ponto Crítico'!F8),"")</f>
        <v>2932005.6990041584</v>
      </c>
      <c r="G13" s="354">
        <f>IF(G8&gt;0,(FSE!K45+DR!G15+DR!G24+DR!G25+DR!G18)/(G12/'Ponto Crítico'!G8),"")</f>
        <v>3298114.321320639</v>
      </c>
    </row>
  </sheetData>
  <sheetProtection password="8318" sheet="1" objects="1" scenarios="1"/>
  <mergeCells count="1">
    <mergeCell ref="A4:G4"/>
  </mergeCells>
  <phoneticPr fontId="15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6B44-7E48-400F-A498-C8A274D4BFB8}">
  <sheetPr codeName="Sheet8"/>
  <dimension ref="A1:G33"/>
  <sheetViews>
    <sheetView showGridLines="0" showZeros="0" zoomScaleNormal="100" workbookViewId="0">
      <selection activeCell="B13" sqref="B13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6" t="s">
        <v>38</v>
      </c>
      <c r="B4" s="576"/>
      <c r="C4" s="576"/>
      <c r="D4" s="576"/>
      <c r="E4" s="576"/>
      <c r="F4" s="576"/>
      <c r="G4" s="576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82" t="s">
        <v>402</v>
      </c>
      <c r="B8" s="98">
        <f>+VN!C80</f>
        <v>1620700</v>
      </c>
      <c r="C8" s="98">
        <f>+VN!D80</f>
        <v>2258781.8000000003</v>
      </c>
      <c r="D8" s="98">
        <f>+VN!E80</f>
        <v>3151896.7356000002</v>
      </c>
      <c r="E8" s="98">
        <f>+VN!F80</f>
        <v>4404319.6768520009</v>
      </c>
      <c r="F8" s="98">
        <f>+VN!G80</f>
        <v>6162202.5628032116</v>
      </c>
      <c r="G8" s="98">
        <f>+VN!H80</f>
        <v>8632115.6414338294</v>
      </c>
    </row>
    <row r="9" spans="1:7">
      <c r="A9" s="82" t="s">
        <v>150</v>
      </c>
      <c r="B9" s="3"/>
      <c r="C9" s="3"/>
      <c r="D9" s="3"/>
      <c r="E9" s="3"/>
      <c r="F9" s="3"/>
      <c r="G9" s="3"/>
    </row>
    <row r="10" spans="1:7">
      <c r="A10" s="86" t="s">
        <v>403</v>
      </c>
      <c r="B10" s="3"/>
      <c r="C10" s="3"/>
      <c r="D10" s="3"/>
      <c r="E10" s="3"/>
      <c r="F10" s="3"/>
      <c r="G10" s="3"/>
    </row>
    <row r="11" spans="1:7">
      <c r="A11" s="82" t="s">
        <v>404</v>
      </c>
      <c r="B11" s="3"/>
      <c r="C11" s="3"/>
      <c r="D11" s="3"/>
      <c r="E11" s="3"/>
      <c r="F11" s="3"/>
      <c r="G11" s="3"/>
    </row>
    <row r="12" spans="1:7">
      <c r="A12" s="82" t="s">
        <v>405</v>
      </c>
      <c r="B12" s="3"/>
      <c r="C12" s="3"/>
      <c r="D12" s="3"/>
      <c r="E12" s="3"/>
      <c r="F12" s="3"/>
      <c r="G12" s="3"/>
    </row>
    <row r="13" spans="1:7">
      <c r="A13" s="82" t="s">
        <v>15</v>
      </c>
      <c r="B13" s="98">
        <f>+CMVMC!C16</f>
        <v>1299760</v>
      </c>
      <c r="C13" s="98">
        <f>+CMVMC!D16</f>
        <v>1835661.36</v>
      </c>
      <c r="D13" s="98">
        <f>+CMVMC!E16</f>
        <v>2594279.4321600003</v>
      </c>
      <c r="E13" s="98">
        <f>+CMVMC!F16</f>
        <v>3668769.3724905606</v>
      </c>
      <c r="F13" s="98">
        <f>+CMVMC!G16</f>
        <v>5191450.1072199428</v>
      </c>
      <c r="G13" s="98">
        <f>+CMVMC!H16</f>
        <v>7350336.0629304154</v>
      </c>
    </row>
    <row r="14" spans="1:7">
      <c r="A14" s="82" t="s">
        <v>406</v>
      </c>
      <c r="B14" s="98">
        <f>+FSE!F43</f>
        <v>122640</v>
      </c>
      <c r="C14" s="98">
        <f>+FSE!G43</f>
        <v>127545.60000000001</v>
      </c>
      <c r="D14" s="98">
        <f>+FSE!H43</f>
        <v>132551.424</v>
      </c>
      <c r="E14" s="98">
        <f>+FSE!I43</f>
        <v>137853.48096000002</v>
      </c>
      <c r="F14" s="98">
        <f>+FSE!J43</f>
        <v>143367.62019840002</v>
      </c>
      <c r="G14" s="98">
        <f>+FSE!K43</f>
        <v>149102.32500633603</v>
      </c>
    </row>
    <row r="15" spans="1:7">
      <c r="A15" s="82" t="s">
        <v>142</v>
      </c>
      <c r="B15" s="98">
        <f>+'Gastos com Pessoal'!D94</f>
        <v>133266.20000000001</v>
      </c>
      <c r="C15" s="98">
        <f>+'Gastos com Pessoal'!E94</f>
        <v>281658.74</v>
      </c>
      <c r="D15" s="98">
        <f>+'Gastos com Pessoal'!F94</f>
        <v>281658.74</v>
      </c>
      <c r="E15" s="98">
        <f>+'Gastos com Pessoal'!G94</f>
        <v>303771.08</v>
      </c>
      <c r="F15" s="98">
        <f>+'Gastos com Pessoal'!H94</f>
        <v>303771.08</v>
      </c>
      <c r="G15" s="98">
        <f>+'Gastos com Pessoal'!I94</f>
        <v>325883.42</v>
      </c>
    </row>
    <row r="16" spans="1:7">
      <c r="A16" s="82" t="s">
        <v>407</v>
      </c>
      <c r="B16" s="3"/>
      <c r="C16" s="3"/>
      <c r="D16" s="3"/>
      <c r="E16" s="3"/>
      <c r="F16" s="3"/>
      <c r="G16" s="3"/>
    </row>
    <row r="17" spans="1:7">
      <c r="A17" s="82" t="s">
        <v>408</v>
      </c>
      <c r="B17" s="98">
        <f>+VN!C87</f>
        <v>0</v>
      </c>
      <c r="C17" s="98">
        <f>+VN!D87</f>
        <v>0</v>
      </c>
      <c r="D17" s="98">
        <f>+VN!E87</f>
        <v>0</v>
      </c>
      <c r="E17" s="98">
        <f>+VN!F87</f>
        <v>0</v>
      </c>
      <c r="F17" s="98">
        <f>+VN!G87</f>
        <v>0</v>
      </c>
      <c r="G17" s="98">
        <f>+VN!H87</f>
        <v>0</v>
      </c>
    </row>
    <row r="18" spans="1:7">
      <c r="A18" s="82" t="s">
        <v>409</v>
      </c>
      <c r="B18" s="3"/>
      <c r="C18" s="3"/>
      <c r="D18" s="3"/>
      <c r="E18" s="3"/>
      <c r="F18" s="3"/>
      <c r="G18" s="3"/>
    </row>
    <row r="19" spans="1:7">
      <c r="A19" s="82" t="s">
        <v>410</v>
      </c>
      <c r="B19" s="3"/>
      <c r="C19" s="3"/>
      <c r="D19" s="3"/>
      <c r="E19" s="3"/>
      <c r="F19" s="3"/>
      <c r="G19" s="3"/>
    </row>
    <row r="20" spans="1:7">
      <c r="A20" s="82" t="s">
        <v>411</v>
      </c>
      <c r="B20" s="3"/>
      <c r="C20" s="3"/>
      <c r="D20" s="3"/>
      <c r="E20" s="3"/>
      <c r="F20" s="3"/>
      <c r="G20" s="3"/>
    </row>
    <row r="21" spans="1:7">
      <c r="A21" s="82" t="s">
        <v>412</v>
      </c>
      <c r="B21" s="3"/>
      <c r="C21" s="3"/>
      <c r="D21" s="3"/>
      <c r="E21" s="3"/>
      <c r="F21" s="3"/>
      <c r="G21" s="3"/>
    </row>
    <row r="22" spans="1:7">
      <c r="A22" s="82" t="s">
        <v>413</v>
      </c>
      <c r="B22" s="3"/>
      <c r="C22" s="3"/>
      <c r="D22" s="3"/>
      <c r="E22" s="3"/>
      <c r="F22" s="3"/>
      <c r="G22" s="3"/>
    </row>
    <row r="23" spans="1:7" ht="10.8" thickBot="1">
      <c r="A23" s="167" t="s">
        <v>414</v>
      </c>
      <c r="B23" s="28">
        <f t="shared" ref="B23:G23" si="0">+B8+B9+B10+B11+B12-B13-B14-B15-B16-B17-B18-B19-B20+B21-B22</f>
        <v>65033.799999999988</v>
      </c>
      <c r="C23" s="28">
        <f t="shared" si="0"/>
        <v>13916.10000000021</v>
      </c>
      <c r="D23" s="28">
        <f t="shared" si="0"/>
        <v>143407.13943999994</v>
      </c>
      <c r="E23" s="28">
        <f t="shared" si="0"/>
        <v>293925.74340144015</v>
      </c>
      <c r="F23" s="28">
        <f t="shared" si="0"/>
        <v>523613.75538486877</v>
      </c>
      <c r="G23" s="28">
        <f t="shared" si="0"/>
        <v>806793.83349707816</v>
      </c>
    </row>
    <row r="24" spans="1:7" ht="10.8" thickTop="1">
      <c r="A24" s="82" t="s">
        <v>415</v>
      </c>
      <c r="B24" s="98">
        <f>+Investimento!C168</f>
        <v>10666.666666666664</v>
      </c>
      <c r="C24" s="98">
        <f>+Investimento!D168</f>
        <v>15833.33333333333</v>
      </c>
      <c r="D24" s="98">
        <f>+Investimento!E168</f>
        <v>17083.333333333332</v>
      </c>
      <c r="E24" s="98">
        <f>+Investimento!F168</f>
        <v>15416.666666666666</v>
      </c>
      <c r="F24" s="98">
        <f>+Investimento!G168</f>
        <v>14750</v>
      </c>
      <c r="G24" s="98">
        <f>+Investimento!H168</f>
        <v>14750</v>
      </c>
    </row>
    <row r="25" spans="1:7">
      <c r="A25" s="82" t="s">
        <v>416</v>
      </c>
      <c r="B25" s="3"/>
      <c r="C25" s="3"/>
      <c r="D25" s="3"/>
      <c r="E25" s="3"/>
      <c r="F25" s="3"/>
      <c r="G25" s="3"/>
    </row>
    <row r="26" spans="1:7" ht="10.8" thickBot="1">
      <c r="A26" s="167" t="s">
        <v>151</v>
      </c>
      <c r="B26" s="28">
        <f t="shared" ref="B26:G26" si="1">+B23-B24-B25</f>
        <v>54367.133333333324</v>
      </c>
      <c r="C26" s="28">
        <f t="shared" si="1"/>
        <v>-1917.2333333331208</v>
      </c>
      <c r="D26" s="28">
        <f t="shared" si="1"/>
        <v>126323.80610666661</v>
      </c>
      <c r="E26" s="28">
        <f t="shared" si="1"/>
        <v>278509.07673477347</v>
      </c>
      <c r="F26" s="28">
        <f t="shared" si="1"/>
        <v>508863.75538486877</v>
      </c>
      <c r="G26" s="28">
        <f t="shared" si="1"/>
        <v>792043.83349707816</v>
      </c>
    </row>
    <row r="27" spans="1:7" ht="10.8" thickTop="1">
      <c r="A27" s="82" t="s">
        <v>417</v>
      </c>
      <c r="B27" s="98">
        <f>+IF(PlanoFinanceiro!C29&gt;0,PlanoFinanceiro!C29*Pressupostos!$B$31,0)</f>
        <v>259.10072914572845</v>
      </c>
      <c r="C27" s="98">
        <f>+IF(PlanoFinanceiro!D29&gt;0,PlanoFinanceiro!D29*Pressupostos!$B$31,0)</f>
        <v>135.92342998866991</v>
      </c>
      <c r="D27" s="98">
        <f>+IF(PlanoFinanceiro!E29&gt;0,PlanoFinanceiro!E29*Pressupostos!$B$31,0)</f>
        <v>0</v>
      </c>
      <c r="E27" s="98">
        <f>+IF(PlanoFinanceiro!F29&gt;0,PlanoFinanceiro!F29*Pressupostos!$B$31,0)</f>
        <v>0</v>
      </c>
      <c r="F27" s="98">
        <f>+IF(PlanoFinanceiro!G29&gt;0,PlanoFinanceiro!G29*Pressupostos!$B$31,0)</f>
        <v>0</v>
      </c>
      <c r="G27" s="98">
        <f>+IF(PlanoFinanceiro!H29&gt;0,PlanoFinanceiro!H29*Pressupostos!$B$31,0)</f>
        <v>0</v>
      </c>
    </row>
    <row r="28" spans="1:7">
      <c r="A28" s="82" t="s">
        <v>418</v>
      </c>
      <c r="B28" s="98">
        <f>Financiamento!C103+IF(PlanoFinanceiro!C29&lt;0,-PlanoFinanceiro!C29*Pressupostos!$B$32,0)</f>
        <v>13472.904900000003</v>
      </c>
      <c r="C28" s="98">
        <f>Financiamento!D103+IF(PlanoFinanceiro!D29&lt;0,-PlanoFinanceiro!D29*Pressupostos!$B$32,0)</f>
        <v>15726.458937280002</v>
      </c>
      <c r="D28" s="98">
        <f>Financiamento!E103+IF(PlanoFinanceiro!E29&lt;0,-PlanoFinanceiro!E29*Pressupostos!$B$32,0)</f>
        <v>15726.458937280002</v>
      </c>
      <c r="E28" s="98">
        <f>Financiamento!F103+IF(PlanoFinanceiro!F29&lt;0,-PlanoFinanceiro!F29*Pressupostos!$B$32,0)</f>
        <v>13031.877957280001</v>
      </c>
      <c r="F28" s="98">
        <f>Financiamento!G103+IF(PlanoFinanceiro!G29&lt;0,-PlanoFinanceiro!G29*Pressupostos!$B$32,0)</f>
        <v>9886.5861698240005</v>
      </c>
      <c r="G28" s="98">
        <f>Financiamento!H103+IF(PlanoFinanceiro!H29&lt;0,-PlanoFinanceiro!H29*Pressupostos!$B$32,0)</f>
        <v>6741.2943823679998</v>
      </c>
    </row>
    <row r="29" spans="1:7" ht="10.8" thickBot="1">
      <c r="A29" s="167" t="s">
        <v>152</v>
      </c>
      <c r="B29" s="28">
        <f t="shared" ref="B29:G29" si="2">+B26+B27-B28</f>
        <v>41153.329162479051</v>
      </c>
      <c r="C29" s="28">
        <f t="shared" si="2"/>
        <v>-17507.768840624452</v>
      </c>
      <c r="D29" s="28">
        <f t="shared" si="2"/>
        <v>110597.34716938662</v>
      </c>
      <c r="E29" s="28">
        <f t="shared" si="2"/>
        <v>265477.19877749344</v>
      </c>
      <c r="F29" s="28">
        <f t="shared" si="2"/>
        <v>498977.16921504476</v>
      </c>
      <c r="G29" s="28">
        <f t="shared" si="2"/>
        <v>785302.53911471018</v>
      </c>
    </row>
    <row r="30" spans="1:7" ht="10.8" thickTop="1">
      <c r="A30" s="82" t="s">
        <v>419</v>
      </c>
      <c r="B30" s="98">
        <f>IF(B29&gt;0,B29*Pressupostos!$B$29,0)</f>
        <v>8642.1991241205997</v>
      </c>
      <c r="C30" s="98">
        <f>IF(C29+C32&lt;0,0,(C29+C32)*Pressupostos!$B$29)</f>
        <v>0</v>
      </c>
      <c r="D30" s="98">
        <f>IF(D29+D32&lt;0,0,(D29+D32)*Pressupostos!$B$29)</f>
        <v>19548.811449040051</v>
      </c>
      <c r="E30" s="98">
        <f>IF(E29+E32&lt;0,0,(E29+E32)*Pressupostos!$B$29)</f>
        <v>55750.21174327362</v>
      </c>
      <c r="F30" s="98">
        <f>IF(F29+F32&lt;0,0,(F29+F32)*Pressupostos!$B$29)</f>
        <v>104785.2055351594</v>
      </c>
      <c r="G30" s="98">
        <f>IF(G29+G32&lt;0,0,(G29+G32)*Pressupostos!$B$29)</f>
        <v>164913.53321408914</v>
      </c>
    </row>
    <row r="31" spans="1:7" ht="10.8" thickBot="1">
      <c r="A31" s="167" t="s">
        <v>149</v>
      </c>
      <c r="B31" s="28">
        <f t="shared" ref="B31:G31" si="3">+B29-B30</f>
        <v>32511.130038358453</v>
      </c>
      <c r="C31" s="28">
        <f t="shared" si="3"/>
        <v>-17507.768840624452</v>
      </c>
      <c r="D31" s="28">
        <f t="shared" si="3"/>
        <v>91048.535720346568</v>
      </c>
      <c r="E31" s="28">
        <f t="shared" si="3"/>
        <v>209726.98703421981</v>
      </c>
      <c r="F31" s="28">
        <f t="shared" si="3"/>
        <v>394191.96367988538</v>
      </c>
      <c r="G31" s="28">
        <f t="shared" si="3"/>
        <v>620389.00590062106</v>
      </c>
    </row>
    <row r="32" spans="1:7" ht="10.8" thickTop="1">
      <c r="A32" s="108"/>
      <c r="B32" s="455"/>
      <c r="C32" s="455">
        <f>IF(B31&lt;0,B31,0)</f>
        <v>0</v>
      </c>
      <c r="D32" s="455">
        <f>IF(C31+C32&lt;0,C31+C32,0)</f>
        <v>-17507.768840624452</v>
      </c>
      <c r="E32" s="455">
        <f>IF(D31+D32&lt;0,D31+D32,0)</f>
        <v>0</v>
      </c>
      <c r="F32" s="455">
        <f>IF(E31+E32&lt;0,E31+E32,0)</f>
        <v>0</v>
      </c>
      <c r="G32" s="455">
        <f>IF(F31+F32&lt;0,F31+F32,0)</f>
        <v>0</v>
      </c>
    </row>
    <row r="33" spans="2:7">
      <c r="B33" s="110"/>
      <c r="C33" s="110"/>
      <c r="D33" s="110"/>
      <c r="E33" s="110"/>
      <c r="F33" s="110"/>
      <c r="G33" s="1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E3C-C8A8-4ECE-837A-3422E9AD5CD5}">
  <sheetPr codeName="Folha4"/>
  <dimension ref="A1:I38"/>
  <sheetViews>
    <sheetView showGridLines="0" showZeros="0" zoomScaleNormal="100" workbookViewId="0">
      <selection activeCell="I38" sqref="I38"/>
    </sheetView>
  </sheetViews>
  <sheetFormatPr defaultColWidth="8.6640625" defaultRowHeight="10.199999999999999"/>
  <cols>
    <col min="1" max="1" width="30.88671875" style="169" customWidth="1"/>
    <col min="2" max="2" width="7.5546875" style="169" customWidth="1"/>
    <col min="3" max="13" width="11.44140625" style="169" customWidth="1"/>
    <col min="14" max="16384" width="8.6640625" style="169"/>
  </cols>
  <sheetData>
    <row r="1" spans="1:8" ht="13.8">
      <c r="A1" s="168"/>
      <c r="B1" s="16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6" t="s">
        <v>40</v>
      </c>
      <c r="B4" s="576"/>
      <c r="C4" s="576"/>
      <c r="D4" s="576"/>
      <c r="E4" s="576"/>
      <c r="F4" s="576"/>
      <c r="G4" s="576"/>
      <c r="H4" s="576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57" t="s">
        <v>277</v>
      </c>
      <c r="B8" s="100"/>
      <c r="C8" s="45"/>
      <c r="D8" s="45"/>
      <c r="E8" s="45"/>
      <c r="F8" s="45"/>
      <c r="G8" s="45"/>
      <c r="H8" s="45"/>
    </row>
    <row r="9" spans="1:8">
      <c r="A9" s="170" t="s">
        <v>100</v>
      </c>
      <c r="B9" s="171"/>
      <c r="C9" s="84">
        <f>+DR!B26*(1-Pressupostos!$B$29)</f>
        <v>42950.035333333326</v>
      </c>
      <c r="D9" s="84">
        <f>+DR!C26*(1-Pressupostos!$B$29)</f>
        <v>-1514.6143333331654</v>
      </c>
      <c r="E9" s="84">
        <f>+DR!D26*(1-Pressupostos!$B$29)</f>
        <v>99795.806824266634</v>
      </c>
      <c r="F9" s="84">
        <f>+DR!E26*(1-Pressupostos!$B$29)</f>
        <v>220022.17062047104</v>
      </c>
      <c r="G9" s="84">
        <f>+DR!F26*(1-Pressupostos!$B$29)</f>
        <v>402002.36675404635</v>
      </c>
      <c r="H9" s="84">
        <f>+DR!G26*(1-Pressupostos!$B$29)</f>
        <v>625714.62846269179</v>
      </c>
    </row>
    <row r="10" spans="1:8">
      <c r="A10" s="49" t="s">
        <v>420</v>
      </c>
      <c r="B10" s="171"/>
      <c r="C10" s="84">
        <f>+DR!B24</f>
        <v>10666.666666666664</v>
      </c>
      <c r="D10" s="84">
        <f>+DR!C24</f>
        <v>15833.33333333333</v>
      </c>
      <c r="E10" s="84">
        <f>+DR!D24</f>
        <v>17083.333333333332</v>
      </c>
      <c r="F10" s="84">
        <f>+DR!E24</f>
        <v>15416.666666666666</v>
      </c>
      <c r="G10" s="84">
        <f>+DR!F24</f>
        <v>14750</v>
      </c>
      <c r="H10" s="84">
        <f>+DR!G24</f>
        <v>14750</v>
      </c>
    </row>
    <row r="11" spans="1:8">
      <c r="A11" s="49" t="s">
        <v>421</v>
      </c>
      <c r="B11" s="171"/>
      <c r="C11" s="84">
        <f>+DR!B25</f>
        <v>0</v>
      </c>
      <c r="D11" s="84">
        <f>+DR!C25</f>
        <v>0</v>
      </c>
      <c r="E11" s="84">
        <f>+DR!D25</f>
        <v>0</v>
      </c>
      <c r="F11" s="84">
        <f>+DR!E25</f>
        <v>0</v>
      </c>
      <c r="G11" s="84">
        <f>+DR!F25</f>
        <v>0</v>
      </c>
      <c r="H11" s="84">
        <f>+DR!G25</f>
        <v>0</v>
      </c>
    </row>
    <row r="12" spans="1:8" ht="10.8" thickBot="1">
      <c r="A12" s="49"/>
      <c r="B12" s="96"/>
      <c r="C12" s="117">
        <f t="shared" ref="C12:H12" si="0">SUM(C9:C11)</f>
        <v>53616.70199999999</v>
      </c>
      <c r="D12" s="117">
        <f t="shared" si="0"/>
        <v>14318.719000000165</v>
      </c>
      <c r="E12" s="117">
        <f t="shared" si="0"/>
        <v>116879.14015759996</v>
      </c>
      <c r="F12" s="117">
        <f t="shared" si="0"/>
        <v>235438.83728713769</v>
      </c>
      <c r="G12" s="117">
        <f t="shared" si="0"/>
        <v>416752.36675404635</v>
      </c>
      <c r="H12" s="117">
        <f t="shared" si="0"/>
        <v>640464.62846269179</v>
      </c>
    </row>
    <row r="13" spans="1:8" ht="10.8" thickTop="1">
      <c r="A13" s="57" t="s">
        <v>101</v>
      </c>
      <c r="B13" s="172"/>
      <c r="C13" s="173"/>
      <c r="D13" s="173"/>
      <c r="E13" s="173"/>
      <c r="F13" s="173"/>
      <c r="G13" s="173"/>
      <c r="H13" s="173"/>
    </row>
    <row r="14" spans="1:8">
      <c r="A14" s="170" t="s">
        <v>59</v>
      </c>
      <c r="B14" s="174"/>
      <c r="C14" s="84">
        <f>-FundoManeio!C24</f>
        <v>-348512.85</v>
      </c>
      <c r="D14" s="84">
        <f>-FundoManeio!D24</f>
        <v>-123821.65040000004</v>
      </c>
      <c r="E14" s="84">
        <f>-FundoManeio!E24</f>
        <v>-185772.69056240004</v>
      </c>
      <c r="F14" s="84">
        <f>-FundoManeio!F24</f>
        <v>-264176.24173662253</v>
      </c>
      <c r="G14" s="84">
        <f>-FundoManeio!G24</f>
        <v>-378557.11321037752</v>
      </c>
      <c r="H14" s="84">
        <f>-FundoManeio!H24</f>
        <v>-536247.96411883342</v>
      </c>
    </row>
    <row r="15" spans="1:8">
      <c r="A15" s="175"/>
      <c r="B15" s="175"/>
      <c r="C15" s="175"/>
      <c r="D15" s="175"/>
      <c r="E15" s="175"/>
      <c r="F15" s="175"/>
      <c r="G15" s="175"/>
      <c r="H15" s="175"/>
    </row>
    <row r="16" spans="1:8" ht="10.8" thickBot="1">
      <c r="A16" s="120" t="s">
        <v>62</v>
      </c>
      <c r="B16" s="176"/>
      <c r="C16" s="117">
        <f t="shared" ref="C16:H16" si="1">+SUM(C12:C14)</f>
        <v>-294896.14799999999</v>
      </c>
      <c r="D16" s="117">
        <f t="shared" si="1"/>
        <v>-109502.93139999988</v>
      </c>
      <c r="E16" s="117">
        <f t="shared" si="1"/>
        <v>-68893.550404800073</v>
      </c>
      <c r="F16" s="117">
        <f t="shared" si="1"/>
        <v>-28737.404449484835</v>
      </c>
      <c r="G16" s="117">
        <f t="shared" si="1"/>
        <v>38195.253543668834</v>
      </c>
      <c r="H16" s="117">
        <f t="shared" si="1"/>
        <v>104216.66434385837</v>
      </c>
    </row>
    <row r="17" spans="1:9" ht="10.8" thickTop="1">
      <c r="A17" s="177"/>
      <c r="B17" s="178"/>
      <c r="C17" s="93"/>
      <c r="D17" s="93"/>
      <c r="E17" s="93"/>
      <c r="F17" s="93"/>
      <c r="G17" s="93"/>
      <c r="H17" s="93"/>
    </row>
    <row r="18" spans="1:9">
      <c r="A18" s="57" t="s">
        <v>102</v>
      </c>
      <c r="B18" s="172"/>
      <c r="C18" s="173"/>
      <c r="D18" s="173"/>
      <c r="E18" s="173"/>
      <c r="F18" s="173"/>
      <c r="G18" s="173"/>
      <c r="H18" s="173"/>
    </row>
    <row r="19" spans="1:9">
      <c r="A19" s="49" t="s">
        <v>60</v>
      </c>
      <c r="B19" s="171"/>
      <c r="C19" s="84">
        <f>-Investimento!C29</f>
        <v>-145000</v>
      </c>
      <c r="D19" s="84">
        <f>-Investimento!D29</f>
        <v>-72000</v>
      </c>
      <c r="E19" s="84">
        <f>-Investimento!E29</f>
        <v>-10000</v>
      </c>
      <c r="F19" s="84">
        <f>-Investimento!F29</f>
        <v>0</v>
      </c>
      <c r="G19" s="84">
        <f>-Investimento!G29</f>
        <v>0</v>
      </c>
      <c r="H19" s="84">
        <f>-Investimento!H29</f>
        <v>0</v>
      </c>
    </row>
    <row r="20" spans="1:9">
      <c r="A20" s="48"/>
      <c r="B20" s="178"/>
      <c r="C20" s="93"/>
      <c r="D20" s="93"/>
      <c r="E20" s="93"/>
      <c r="F20" s="93"/>
      <c r="G20" s="93"/>
      <c r="H20" s="93"/>
    </row>
    <row r="21" spans="1:9" ht="10.8" thickBot="1">
      <c r="A21" s="120" t="s">
        <v>422</v>
      </c>
      <c r="B21" s="176"/>
      <c r="C21" s="117">
        <f t="shared" ref="C21:H21" si="2">+C12+C14+C19</f>
        <v>-439896.14799999999</v>
      </c>
      <c r="D21" s="117">
        <f t="shared" si="2"/>
        <v>-181502.93139999988</v>
      </c>
      <c r="E21" s="117">
        <f t="shared" si="2"/>
        <v>-78893.550404800073</v>
      </c>
      <c r="F21" s="117">
        <f t="shared" si="2"/>
        <v>-28737.404449484835</v>
      </c>
      <c r="G21" s="117">
        <f t="shared" si="2"/>
        <v>38195.253543668834</v>
      </c>
      <c r="H21" s="117">
        <f t="shared" si="2"/>
        <v>104216.66434385837</v>
      </c>
    </row>
    <row r="22" spans="1:9" ht="10.8" thickTop="1">
      <c r="A22" s="177"/>
      <c r="B22" s="178"/>
      <c r="C22" s="93"/>
      <c r="D22" s="93"/>
      <c r="E22" s="93"/>
      <c r="F22" s="93"/>
      <c r="G22" s="93"/>
      <c r="H22" s="93"/>
    </row>
    <row r="23" spans="1:9" ht="10.8" thickBot="1">
      <c r="A23" s="120" t="s">
        <v>423</v>
      </c>
      <c r="B23" s="176"/>
      <c r="C23" s="117">
        <f>+SUM(C21)</f>
        <v>-439896.14799999999</v>
      </c>
      <c r="D23" s="117">
        <f>+SUM($C$21:D21)</f>
        <v>-621399.07939999993</v>
      </c>
      <c r="E23" s="117">
        <f>+SUM($C$21:E21)</f>
        <v>-700292.62980480003</v>
      </c>
      <c r="F23" s="117">
        <f>+SUM($C$21:F21)</f>
        <v>-729030.03425428481</v>
      </c>
      <c r="G23" s="117">
        <f>+SUM($C$21:G21)</f>
        <v>-690834.78071061592</v>
      </c>
      <c r="H23" s="117">
        <f>+SUM($C$21:H21)</f>
        <v>-586618.11636675755</v>
      </c>
    </row>
    <row r="24" spans="1:9" ht="10.8" thickTop="1">
      <c r="A24" s="56"/>
      <c r="B24" s="179"/>
      <c r="C24" s="110"/>
      <c r="D24" s="110"/>
      <c r="E24" s="110"/>
      <c r="F24" s="110"/>
      <c r="G24" s="110"/>
      <c r="H24" s="110"/>
    </row>
    <row r="25" spans="1:9">
      <c r="A25" s="180"/>
      <c r="B25" s="181"/>
      <c r="C25" s="182"/>
      <c r="D25" s="182"/>
      <c r="E25" s="182"/>
      <c r="F25" s="182"/>
      <c r="G25" s="182"/>
      <c r="H25" s="182"/>
      <c r="I25" s="183"/>
    </row>
    <row r="26" spans="1:9">
      <c r="A26" s="111"/>
      <c r="B26" s="181"/>
      <c r="C26" s="110"/>
      <c r="D26" s="110"/>
      <c r="E26" s="110"/>
      <c r="F26" s="110"/>
      <c r="G26" s="110"/>
      <c r="H26" s="110"/>
    </row>
    <row r="27" spans="1:9">
      <c r="A27" s="111"/>
      <c r="B27" s="181"/>
      <c r="C27" s="110"/>
      <c r="D27" s="110"/>
      <c r="E27" s="110"/>
      <c r="F27" s="110"/>
      <c r="G27" s="110"/>
      <c r="H27" s="110"/>
    </row>
    <row r="28" spans="1:9">
      <c r="A28" s="111"/>
      <c r="B28" s="181"/>
      <c r="C28" s="110"/>
      <c r="D28" s="110"/>
      <c r="E28" s="110"/>
      <c r="F28" s="110"/>
      <c r="G28" s="110"/>
      <c r="H28" s="110"/>
    </row>
    <row r="29" spans="1:9">
      <c r="A29" s="111"/>
      <c r="B29" s="181"/>
      <c r="C29" s="110"/>
      <c r="D29" s="110"/>
      <c r="E29" s="110"/>
      <c r="F29" s="110"/>
      <c r="G29" s="110"/>
      <c r="H29" s="110"/>
    </row>
    <row r="30" spans="1:9">
      <c r="A30" s="111"/>
      <c r="B30" s="181"/>
      <c r="C30" s="110"/>
      <c r="D30" s="110"/>
      <c r="E30" s="110"/>
      <c r="F30" s="110"/>
      <c r="G30" s="110"/>
      <c r="H30" s="110"/>
    </row>
    <row r="31" spans="1:9">
      <c r="A31" s="111"/>
      <c r="B31" s="181"/>
      <c r="C31" s="110"/>
      <c r="D31" s="110"/>
      <c r="E31" s="110"/>
      <c r="F31" s="110"/>
      <c r="G31" s="110"/>
      <c r="H31" s="110"/>
    </row>
    <row r="32" spans="1:9">
      <c r="A32" s="111"/>
      <c r="B32" s="181"/>
      <c r="C32" s="110"/>
      <c r="D32" s="110"/>
      <c r="E32" s="110"/>
      <c r="F32" s="110"/>
      <c r="G32" s="110"/>
      <c r="H32" s="110"/>
    </row>
    <row r="33" spans="1:8">
      <c r="A33" s="111"/>
      <c r="B33" s="181"/>
      <c r="C33" s="110"/>
      <c r="D33" s="110"/>
      <c r="E33" s="110"/>
      <c r="F33" s="110"/>
      <c r="G33" s="110"/>
      <c r="H33" s="110"/>
    </row>
    <row r="34" spans="1:8">
      <c r="A34" s="111"/>
      <c r="B34" s="181"/>
      <c r="C34" s="110"/>
      <c r="D34" s="110"/>
      <c r="E34" s="110"/>
      <c r="F34" s="110"/>
      <c r="G34" s="110"/>
      <c r="H34" s="110"/>
    </row>
    <row r="35" spans="1:8">
      <c r="A35" s="111"/>
      <c r="B35" s="181"/>
      <c r="C35" s="110"/>
      <c r="D35" s="110"/>
      <c r="E35" s="110"/>
      <c r="F35" s="110"/>
      <c r="G35" s="110"/>
      <c r="H35" s="110"/>
    </row>
    <row r="36" spans="1:8">
      <c r="A36" s="180"/>
      <c r="B36" s="181"/>
      <c r="C36" s="182"/>
      <c r="D36" s="182"/>
      <c r="E36" s="182"/>
      <c r="F36" s="182"/>
      <c r="G36" s="182"/>
      <c r="H36" s="182"/>
    </row>
    <row r="37" spans="1:8">
      <c r="A37" s="184"/>
      <c r="B37" s="181"/>
      <c r="C37" s="184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CBE3-DB15-4282-A842-63863244FD44}">
  <sheetPr codeName="Folha5"/>
  <dimension ref="A1:H35"/>
  <sheetViews>
    <sheetView showGridLines="0" showZeros="0" zoomScaleNormal="100" workbookViewId="0">
      <selection activeCell="H30" sqref="H30"/>
    </sheetView>
  </sheetViews>
  <sheetFormatPr defaultColWidth="8.6640625" defaultRowHeight="10.199999999999999"/>
  <cols>
    <col min="1" max="1" width="30.5546875" style="56" customWidth="1"/>
    <col min="2" max="2" width="3.10937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6" t="s">
        <v>104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623" t="s">
        <v>73</v>
      </c>
      <c r="B8" s="624"/>
      <c r="C8" s="84"/>
      <c r="D8" s="84"/>
      <c r="E8" s="84"/>
      <c r="F8" s="84"/>
      <c r="G8" s="84"/>
      <c r="H8" s="84"/>
    </row>
    <row r="9" spans="1:8">
      <c r="A9" s="94" t="s">
        <v>64</v>
      </c>
      <c r="B9" s="76"/>
      <c r="C9" s="185">
        <f>+DR!B26+DR!B24+DR!B25+DR!B17</f>
        <v>65033.799999999988</v>
      </c>
      <c r="D9" s="185">
        <f>+DR!C26+DR!C24+DR!C25+DR!C17</f>
        <v>13916.10000000021</v>
      </c>
      <c r="E9" s="185">
        <f>+DR!D26+DR!D24+DR!D25+DR!D17</f>
        <v>143407.13943999994</v>
      </c>
      <c r="F9" s="185">
        <f>+DR!E26+DR!E24+DR!E25+DR!E17</f>
        <v>293925.74340144015</v>
      </c>
      <c r="G9" s="185">
        <f>+DR!F26+DR!F24+DR!F25+DR!F17</f>
        <v>523613.75538486877</v>
      </c>
      <c r="H9" s="185">
        <f>+DR!G26+DR!G24+DR!G25+DR!G17</f>
        <v>806793.83349707816</v>
      </c>
    </row>
    <row r="10" spans="1:8">
      <c r="A10" s="94" t="s">
        <v>424</v>
      </c>
      <c r="B10" s="76"/>
      <c r="C10" s="185">
        <f>+Financiamento!C15</f>
        <v>123378.25</v>
      </c>
      <c r="D10" s="185">
        <f>+Financiamento!D15</f>
        <v>119592</v>
      </c>
      <c r="E10" s="185">
        <f>+Financiamento!E15</f>
        <v>0</v>
      </c>
      <c r="F10" s="185">
        <f>+Financiamento!F15</f>
        <v>0</v>
      </c>
      <c r="G10" s="185">
        <f>+Financiamento!G15</f>
        <v>0</v>
      </c>
      <c r="H10" s="185">
        <f>+Financiamento!H15</f>
        <v>0</v>
      </c>
    </row>
    <row r="11" spans="1:8">
      <c r="A11" s="94" t="s">
        <v>278</v>
      </c>
      <c r="B11" s="76"/>
      <c r="C11" s="185">
        <f>+Financiamento!C16+Financiamento!C17+Financiamento!C19</f>
        <v>0</v>
      </c>
      <c r="D11" s="185">
        <f>+Financiamento!D16+Financiamento!D17+Financiamento!D19</f>
        <v>0</v>
      </c>
      <c r="E11" s="185">
        <f>+Financiamento!E16+Financiamento!E17+Financiamento!E19</f>
        <v>78894</v>
      </c>
      <c r="F11" s="185">
        <f>+Financiamento!F16+Financiamento!F17+Financiamento!F19</f>
        <v>0</v>
      </c>
      <c r="G11" s="185">
        <f>+Financiamento!G16+Financiamento!G17+Financiamento!G19</f>
        <v>0</v>
      </c>
      <c r="H11" s="185">
        <f>+Financiamento!H16+Financiamento!H17+Financiamento!H19</f>
        <v>0</v>
      </c>
    </row>
    <row r="12" spans="1:8">
      <c r="A12" s="94" t="s">
        <v>107</v>
      </c>
      <c r="B12" s="76"/>
      <c r="C12" s="185">
        <f>+Financiamento!C18</f>
        <v>370134.75</v>
      </c>
      <c r="D12" s="185">
        <f>+Financiamento!D18</f>
        <v>61910.825200000021</v>
      </c>
      <c r="E12" s="185">
        <f>+Financiamento!E18</f>
        <v>0</v>
      </c>
      <c r="F12" s="185">
        <f>+Financiamento!F18</f>
        <v>0</v>
      </c>
      <c r="G12" s="185">
        <f>+Financiamento!G18</f>
        <v>0</v>
      </c>
      <c r="H12" s="185">
        <f>+Financiamento!H18</f>
        <v>0</v>
      </c>
    </row>
    <row r="13" spans="1:8">
      <c r="A13" s="94" t="s">
        <v>65</v>
      </c>
      <c r="B13" s="76"/>
      <c r="C13" s="185"/>
      <c r="D13" s="185"/>
      <c r="E13" s="185"/>
      <c r="F13" s="185"/>
      <c r="G13" s="185"/>
      <c r="H13" s="185"/>
    </row>
    <row r="14" spans="1:8">
      <c r="A14" s="94" t="s">
        <v>66</v>
      </c>
      <c r="B14" s="76"/>
      <c r="C14" s="185">
        <f>+IF(FundoManeio!C24&lt;0,-FundoManeio!C24,0)</f>
        <v>0</v>
      </c>
      <c r="D14" s="185">
        <f>+IF(FundoManeio!D24&lt;0,-FundoManeio!D24,0)</f>
        <v>0</v>
      </c>
      <c r="E14" s="185">
        <f>+IF(FundoManeio!E24&lt;0,-FundoManeio!E24,0)</f>
        <v>0</v>
      </c>
      <c r="F14" s="185">
        <f>+IF(FundoManeio!F24&lt;0,-FundoManeio!F24,0)</f>
        <v>0</v>
      </c>
      <c r="G14" s="185">
        <f>+IF(FundoManeio!G24&lt;0,-FundoManeio!G24,0)</f>
        <v>0</v>
      </c>
      <c r="H14" s="185">
        <f>+IF(FundoManeio!H24&lt;0,-FundoManeio!H24,0)</f>
        <v>0</v>
      </c>
    </row>
    <row r="15" spans="1:8">
      <c r="A15" s="94" t="s">
        <v>32</v>
      </c>
      <c r="B15" s="76"/>
      <c r="C15" s="185">
        <f>+DR!B27</f>
        <v>259.10072914572845</v>
      </c>
      <c r="D15" s="185">
        <f>+DR!C27</f>
        <v>135.92342998866991</v>
      </c>
      <c r="E15" s="185">
        <f>+DR!D27</f>
        <v>0</v>
      </c>
      <c r="F15" s="185">
        <f>+DR!E27</f>
        <v>0</v>
      </c>
      <c r="G15" s="185">
        <f>+DR!F27</f>
        <v>0</v>
      </c>
      <c r="H15" s="185">
        <f>+DR!G27</f>
        <v>0</v>
      </c>
    </row>
    <row r="16" spans="1:8">
      <c r="A16" s="621"/>
      <c r="B16" s="622"/>
      <c r="C16" s="186"/>
      <c r="D16" s="186"/>
      <c r="E16" s="186"/>
      <c r="F16" s="186"/>
      <c r="G16" s="186"/>
      <c r="H16" s="186"/>
    </row>
    <row r="17" spans="1:8">
      <c r="A17" s="625" t="s">
        <v>67</v>
      </c>
      <c r="B17" s="626"/>
      <c r="C17" s="187">
        <f t="shared" ref="C17:H17" si="0">+SUM(C9:C16)</f>
        <v>558805.90072914574</v>
      </c>
      <c r="D17" s="187">
        <f t="shared" si="0"/>
        <v>195554.8486299889</v>
      </c>
      <c r="E17" s="187">
        <f t="shared" si="0"/>
        <v>222301.13943999994</v>
      </c>
      <c r="F17" s="187">
        <f t="shared" si="0"/>
        <v>293925.74340144015</v>
      </c>
      <c r="G17" s="187">
        <f t="shared" si="0"/>
        <v>523613.75538486877</v>
      </c>
      <c r="H17" s="187">
        <f t="shared" si="0"/>
        <v>806793.83349707816</v>
      </c>
    </row>
    <row r="18" spans="1:8" ht="14.25" customHeight="1">
      <c r="A18" s="623" t="s">
        <v>74</v>
      </c>
      <c r="B18" s="624"/>
      <c r="C18" s="188"/>
      <c r="D18" s="188"/>
      <c r="E18" s="188"/>
      <c r="F18" s="188"/>
      <c r="G18" s="188"/>
      <c r="H18" s="188"/>
    </row>
    <row r="19" spans="1:8">
      <c r="A19" s="94" t="s">
        <v>68</v>
      </c>
      <c r="B19" s="63"/>
      <c r="C19" s="185">
        <f>+Investimento!C29</f>
        <v>145000</v>
      </c>
      <c r="D19" s="185">
        <f>+Investimento!D29</f>
        <v>72000</v>
      </c>
      <c r="E19" s="185">
        <f>+Investimento!E29</f>
        <v>10000</v>
      </c>
      <c r="F19" s="185">
        <f>+Investimento!F29</f>
        <v>0</v>
      </c>
      <c r="G19" s="185">
        <f>+Investimento!G29</f>
        <v>0</v>
      </c>
      <c r="H19" s="185">
        <f>+Investimento!H29</f>
        <v>0</v>
      </c>
    </row>
    <row r="20" spans="1:8">
      <c r="A20" s="94" t="s">
        <v>279</v>
      </c>
      <c r="B20" s="63"/>
      <c r="C20" s="185">
        <f>+IF(FundoManeio!C24&gt;0,FundoManeio!C24,0)</f>
        <v>348512.85</v>
      </c>
      <c r="D20" s="185">
        <f>+IF(FundoManeio!D24&gt;0,FundoManeio!D24,0)</f>
        <v>123821.65040000004</v>
      </c>
      <c r="E20" s="185">
        <f>+IF(FundoManeio!E24&gt;0,FundoManeio!E24,0)</f>
        <v>185772.69056240004</v>
      </c>
      <c r="F20" s="185">
        <f>+IF(FundoManeio!F24&gt;0,FundoManeio!F24,0)</f>
        <v>264176.24173662253</v>
      </c>
      <c r="G20" s="185">
        <f>+IF(FundoManeio!G24&gt;0,FundoManeio!G24,0)</f>
        <v>378557.11321037752</v>
      </c>
      <c r="H20" s="185">
        <f>+IF(FundoManeio!H24&gt;0,FundoManeio!H24,0)</f>
        <v>536247.96411883342</v>
      </c>
    </row>
    <row r="21" spans="1:8">
      <c r="A21" s="94" t="s">
        <v>105</v>
      </c>
      <c r="B21" s="63"/>
      <c r="C21" s="185"/>
      <c r="D21" s="185">
        <f>+DR!B30</f>
        <v>8642.1991241205997</v>
      </c>
      <c r="E21" s="185">
        <f>+DR!C30</f>
        <v>0</v>
      </c>
      <c r="F21" s="185">
        <f>+DR!D30</f>
        <v>19548.811449040051</v>
      </c>
      <c r="G21" s="185">
        <f>+DR!E30</f>
        <v>55750.21174327362</v>
      </c>
      <c r="H21" s="185">
        <f>+DR!F30</f>
        <v>104785.2055351594</v>
      </c>
    </row>
    <row r="22" spans="1:8">
      <c r="A22" s="94" t="s">
        <v>106</v>
      </c>
      <c r="B22" s="63"/>
      <c r="C22" s="440"/>
      <c r="D22" s="440"/>
      <c r="E22" s="440"/>
      <c r="F22" s="440"/>
      <c r="G22" s="440"/>
      <c r="H22" s="440"/>
    </row>
    <row r="23" spans="1:8">
      <c r="A23" s="94" t="s">
        <v>69</v>
      </c>
      <c r="B23" s="63"/>
      <c r="C23" s="185">
        <f>+Financiamento!C104</f>
        <v>0</v>
      </c>
      <c r="D23" s="185">
        <f>+Financiamento!D104</f>
        <v>0</v>
      </c>
      <c r="E23" s="185">
        <f>+Financiamento!E104</f>
        <v>74026.95</v>
      </c>
      <c r="F23" s="185">
        <f>+Financiamento!F104</f>
        <v>86409.115040000004</v>
      </c>
      <c r="G23" s="185">
        <f>+Financiamento!G104</f>
        <v>86409.115040000004</v>
      </c>
      <c r="H23" s="185">
        <f>+Financiamento!H104</f>
        <v>86409.115040000004</v>
      </c>
    </row>
    <row r="24" spans="1:8">
      <c r="A24" s="94" t="s">
        <v>70</v>
      </c>
      <c r="B24" s="63"/>
      <c r="C24" s="185">
        <f>+DR!B28</f>
        <v>13472.904900000003</v>
      </c>
      <c r="D24" s="185">
        <f>+DR!C28</f>
        <v>15726.458937280002</v>
      </c>
      <c r="E24" s="185">
        <f>+DR!D28</f>
        <v>15726.458937280002</v>
      </c>
      <c r="F24" s="185">
        <f>+DR!E28</f>
        <v>13031.877957280001</v>
      </c>
      <c r="G24" s="185">
        <f>+DR!F28</f>
        <v>9886.5861698240005</v>
      </c>
      <c r="H24" s="185">
        <f>+DR!G28</f>
        <v>6741.2943823679998</v>
      </c>
    </row>
    <row r="25" spans="1:8">
      <c r="A25" s="621"/>
      <c r="B25" s="622"/>
      <c r="C25" s="185"/>
      <c r="D25" s="185"/>
      <c r="E25" s="185"/>
      <c r="F25" s="185"/>
      <c r="G25" s="185"/>
      <c r="H25" s="185"/>
    </row>
    <row r="26" spans="1:8">
      <c r="A26" s="625" t="s">
        <v>71</v>
      </c>
      <c r="B26" s="626"/>
      <c r="C26" s="187">
        <f t="shared" ref="C26:H26" si="1">+SUM(C19:C25)</f>
        <v>506985.7549</v>
      </c>
      <c r="D26" s="187">
        <f t="shared" si="1"/>
        <v>220190.30846140065</v>
      </c>
      <c r="E26" s="187">
        <f t="shared" si="1"/>
        <v>285526.09949968004</v>
      </c>
      <c r="F26" s="187">
        <f t="shared" si="1"/>
        <v>383166.04618294263</v>
      </c>
      <c r="G26" s="187">
        <f t="shared" si="1"/>
        <v>530603.02616347512</v>
      </c>
      <c r="H26" s="187">
        <f t="shared" si="1"/>
        <v>734183.57907636091</v>
      </c>
    </row>
    <row r="27" spans="1:8">
      <c r="A27" s="627" t="s">
        <v>72</v>
      </c>
      <c r="B27" s="628"/>
      <c r="C27" s="187">
        <f t="shared" ref="C27:H27" si="2">+C17-C26</f>
        <v>51820.145829145738</v>
      </c>
      <c r="D27" s="187">
        <f t="shared" si="2"/>
        <v>-24635.459831411747</v>
      </c>
      <c r="E27" s="187">
        <f t="shared" si="2"/>
        <v>-63224.960059680103</v>
      </c>
      <c r="F27" s="187">
        <f t="shared" si="2"/>
        <v>-89240.302781502483</v>
      </c>
      <c r="G27" s="187">
        <f t="shared" si="2"/>
        <v>-6989.2707786063547</v>
      </c>
      <c r="H27" s="187">
        <f t="shared" si="2"/>
        <v>72610.254420717247</v>
      </c>
    </row>
    <row r="28" spans="1:8">
      <c r="A28" s="627" t="s">
        <v>78</v>
      </c>
      <c r="B28" s="628"/>
      <c r="C28" s="187">
        <f>+C27</f>
        <v>51820.145829145738</v>
      </c>
      <c r="D28" s="187">
        <f>+C28+D27</f>
        <v>27184.685997733992</v>
      </c>
      <c r="E28" s="187">
        <f>+D28+E27</f>
        <v>-36040.274061946111</v>
      </c>
      <c r="F28" s="187">
        <f>+E28+F27</f>
        <v>-125280.57684344859</v>
      </c>
      <c r="G28" s="187">
        <f>+F28+G27</f>
        <v>-132269.84762205495</v>
      </c>
      <c r="H28" s="187">
        <f>+G28+H27</f>
        <v>-59659.593201337702</v>
      </c>
    </row>
    <row r="29" spans="1:8">
      <c r="A29" s="627" t="s">
        <v>280</v>
      </c>
      <c r="B29" s="628"/>
      <c r="C29" s="37">
        <v>51820.145829145695</v>
      </c>
      <c r="D29" s="37">
        <v>27184.685997733981</v>
      </c>
      <c r="E29" s="37">
        <v>-36040.274061946111</v>
      </c>
      <c r="F29" s="37">
        <v>-125280.57684344859</v>
      </c>
      <c r="G29" s="37">
        <v>-132269.84762205495</v>
      </c>
      <c r="H29" s="37">
        <v>-59659.593201337702</v>
      </c>
    </row>
    <row r="30" spans="1:8">
      <c r="A30" s="627" t="s">
        <v>79</v>
      </c>
      <c r="B30" s="628"/>
      <c r="C30" s="37">
        <f t="shared" ref="C30:H30" si="3">+C28-C29</f>
        <v>0</v>
      </c>
      <c r="D30" s="37">
        <f t="shared" si="3"/>
        <v>0</v>
      </c>
      <c r="E30" s="37">
        <f t="shared" si="3"/>
        <v>0</v>
      </c>
      <c r="F30" s="37">
        <f t="shared" si="3"/>
        <v>0</v>
      </c>
      <c r="G30" s="37">
        <f t="shared" si="3"/>
        <v>0</v>
      </c>
      <c r="H30" s="37">
        <f t="shared" si="3"/>
        <v>0</v>
      </c>
    </row>
    <row r="31" spans="1:8">
      <c r="A31" s="48"/>
      <c r="B31" s="48"/>
      <c r="C31" s="48"/>
      <c r="D31" s="48"/>
      <c r="E31" s="48"/>
      <c r="F31" s="48"/>
      <c r="G31" s="48"/>
      <c r="H31" s="48"/>
    </row>
    <row r="32" spans="1:8">
      <c r="A32" s="48"/>
      <c r="B32" s="48"/>
      <c r="C32" s="48"/>
      <c r="D32" s="48"/>
      <c r="E32" s="48"/>
      <c r="F32" s="48"/>
      <c r="G32" s="48"/>
      <c r="H32" s="48"/>
    </row>
    <row r="33" spans="1:8">
      <c r="A33" s="48"/>
      <c r="B33" s="48"/>
      <c r="C33" s="48"/>
      <c r="D33" s="48"/>
      <c r="E33" s="48"/>
      <c r="F33" s="48"/>
      <c r="G33" s="48"/>
      <c r="H33" s="48"/>
    </row>
    <row r="34" spans="1:8">
      <c r="A34" s="124"/>
      <c r="B34" s="48"/>
      <c r="C34" s="48"/>
      <c r="D34" s="48"/>
      <c r="E34" s="125"/>
      <c r="F34" s="48"/>
      <c r="G34" s="48"/>
      <c r="H34" s="48"/>
    </row>
    <row r="35" spans="1:8">
      <c r="A35" s="48"/>
      <c r="B35" s="48"/>
      <c r="C35" s="48"/>
      <c r="D35" s="48"/>
      <c r="E35" s="48"/>
      <c r="F35" s="48"/>
      <c r="G35" s="48"/>
      <c r="H35" s="48"/>
    </row>
  </sheetData>
  <sheetProtection password="8318" sheet="1"/>
  <mergeCells count="11">
    <mergeCell ref="A30:B30"/>
    <mergeCell ref="A29:B29"/>
    <mergeCell ref="A28:B28"/>
    <mergeCell ref="A26:B26"/>
    <mergeCell ref="A27:B27"/>
    <mergeCell ref="A25:B25"/>
    <mergeCell ref="A4:H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7AFE-2917-4288-AC85-278EFA8F1BB2}">
  <sheetPr codeName="Sheet9">
    <pageSetUpPr fitToPage="1"/>
  </sheetPr>
  <dimension ref="A1:J59"/>
  <sheetViews>
    <sheetView showGridLines="0" showZeros="0" zoomScaleNormal="100" workbookViewId="0">
      <selection activeCell="E36" sqref="E36"/>
    </sheetView>
  </sheetViews>
  <sheetFormatPr defaultColWidth="8.6640625" defaultRowHeight="10.199999999999999"/>
  <cols>
    <col min="1" max="1" width="26.44140625" style="56" customWidth="1"/>
    <col min="2" max="2" width="7.5546875" style="56" customWidth="1"/>
    <col min="3" max="12" width="11.44140625" style="56" customWidth="1"/>
    <col min="13" max="16384" width="8.6640625" style="56"/>
  </cols>
  <sheetData>
    <row r="1" spans="1:10">
      <c r="A1" s="48"/>
      <c r="B1" s="48"/>
      <c r="C1" s="152"/>
      <c r="D1" s="152"/>
      <c r="E1" s="152"/>
      <c r="F1" s="152"/>
      <c r="G1" s="441" t="s">
        <v>44</v>
      </c>
      <c r="H1" s="442" t="str">
        <f>+Pressupostos!E1</f>
        <v>Flexible Energies</v>
      </c>
    </row>
    <row r="2" spans="1:10" s="189" customFormat="1">
      <c r="A2" s="42"/>
      <c r="B2" s="42"/>
      <c r="C2" s="42"/>
      <c r="D2" s="42"/>
      <c r="E2" s="42"/>
      <c r="F2" s="42"/>
      <c r="G2" s="42"/>
      <c r="H2" s="43" t="str">
        <f>+Pressupostos!B9</f>
        <v>Euros</v>
      </c>
    </row>
    <row r="3" spans="1:10" s="189" customFormat="1">
      <c r="A3" s="42"/>
      <c r="B3" s="42"/>
      <c r="C3" s="42"/>
      <c r="D3" s="42"/>
      <c r="E3" s="42"/>
      <c r="F3" s="42"/>
      <c r="G3" s="42"/>
      <c r="H3" s="43"/>
    </row>
    <row r="4" spans="1:10" ht="15.6">
      <c r="A4" s="576" t="s">
        <v>39</v>
      </c>
      <c r="B4" s="576"/>
      <c r="C4" s="576"/>
      <c r="D4" s="576"/>
      <c r="E4" s="576"/>
      <c r="F4" s="576"/>
      <c r="G4" s="576"/>
      <c r="H4" s="576"/>
    </row>
    <row r="5" spans="1:10">
      <c r="A5" s="48"/>
      <c r="B5" s="48"/>
      <c r="C5" s="48"/>
      <c r="D5" s="48"/>
      <c r="E5" s="48"/>
      <c r="F5" s="48"/>
      <c r="G5" s="48"/>
      <c r="H5" s="48"/>
    </row>
    <row r="6" spans="1:10">
      <c r="A6" s="48"/>
      <c r="B6" s="48"/>
      <c r="C6" s="48"/>
      <c r="D6" s="48"/>
      <c r="E6" s="48"/>
      <c r="F6" s="48"/>
      <c r="G6" s="48"/>
      <c r="H6" s="48"/>
    </row>
    <row r="7" spans="1:10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10">
      <c r="A8" s="629" t="s">
        <v>281</v>
      </c>
      <c r="B8" s="630"/>
      <c r="C8" s="190"/>
      <c r="D8" s="190"/>
      <c r="E8" s="190"/>
      <c r="F8" s="190"/>
      <c r="G8" s="190"/>
      <c r="H8" s="190"/>
    </row>
    <row r="9" spans="1:10">
      <c r="A9" s="73" t="s">
        <v>282</v>
      </c>
      <c r="B9" s="100"/>
      <c r="C9" s="114">
        <f t="shared" ref="C9:H9" si="0">SUM(C10:C13)</f>
        <v>134333.33333333334</v>
      </c>
      <c r="D9" s="114">
        <f t="shared" si="0"/>
        <v>190500</v>
      </c>
      <c r="E9" s="114">
        <f t="shared" si="0"/>
        <v>183416.66666666669</v>
      </c>
      <c r="F9" s="114">
        <f t="shared" si="0"/>
        <v>168000</v>
      </c>
      <c r="G9" s="114">
        <f t="shared" si="0"/>
        <v>153250</v>
      </c>
      <c r="H9" s="114">
        <f t="shared" si="0"/>
        <v>138500</v>
      </c>
    </row>
    <row r="10" spans="1:10">
      <c r="A10" s="49" t="s">
        <v>372</v>
      </c>
      <c r="B10" s="100"/>
      <c r="C10" s="84">
        <f>+Investimento!C180</f>
        <v>35000</v>
      </c>
      <c r="D10" s="84">
        <f>+Investimento!D180</f>
        <v>47500</v>
      </c>
      <c r="E10" s="84">
        <f>+Investimento!E180</f>
        <v>48750</v>
      </c>
      <c r="F10" s="84">
        <f>+Investimento!F180</f>
        <v>40000</v>
      </c>
      <c r="G10" s="84">
        <f>+Investimento!G180</f>
        <v>31250</v>
      </c>
      <c r="H10" s="84">
        <f>+Investimento!H180</f>
        <v>22500</v>
      </c>
    </row>
    <row r="11" spans="1:10">
      <c r="A11" s="49" t="s">
        <v>367</v>
      </c>
      <c r="B11" s="100"/>
      <c r="C11" s="84">
        <f>+Investimento!C179</f>
        <v>96000</v>
      </c>
      <c r="D11" s="84">
        <f>+Investimento!D179</f>
        <v>140000</v>
      </c>
      <c r="E11" s="84">
        <f>+Investimento!E179</f>
        <v>134000</v>
      </c>
      <c r="F11" s="84">
        <f>+Investimento!F179</f>
        <v>128000</v>
      </c>
      <c r="G11" s="84">
        <f>+Investimento!G179</f>
        <v>122000</v>
      </c>
      <c r="H11" s="84">
        <f>+Investimento!H179</f>
        <v>116000</v>
      </c>
    </row>
    <row r="12" spans="1:10">
      <c r="A12" s="49" t="s">
        <v>272</v>
      </c>
      <c r="B12" s="100"/>
      <c r="C12" s="84">
        <f>+Investimento!C181</f>
        <v>3333.3333333333348</v>
      </c>
      <c r="D12" s="84">
        <f>+Investimento!D181</f>
        <v>3000.0000000000045</v>
      </c>
      <c r="E12" s="84">
        <f>+Investimento!E181</f>
        <v>666.66666666667334</v>
      </c>
      <c r="F12" s="84">
        <f>+Investimento!F181</f>
        <v>7.2759576141834259E-12</v>
      </c>
      <c r="G12" s="84">
        <f>+Investimento!G181</f>
        <v>7.2759576141834259E-12</v>
      </c>
      <c r="H12" s="84">
        <f>+Investimento!H181</f>
        <v>7.2759576141834259E-12</v>
      </c>
    </row>
    <row r="13" spans="1:10">
      <c r="A13" s="49" t="s">
        <v>425</v>
      </c>
      <c r="B13" s="100"/>
      <c r="C13" s="84"/>
      <c r="D13" s="84"/>
      <c r="E13" s="84"/>
      <c r="F13" s="84"/>
      <c r="G13" s="84"/>
      <c r="H13" s="84"/>
    </row>
    <row r="14" spans="1:10">
      <c r="A14" s="49"/>
      <c r="B14" s="100"/>
      <c r="C14" s="84"/>
      <c r="D14" s="84"/>
      <c r="E14" s="84"/>
      <c r="F14" s="84"/>
      <c r="G14" s="84"/>
      <c r="H14" s="84"/>
    </row>
    <row r="15" spans="1:10">
      <c r="A15" s="73" t="s">
        <v>426</v>
      </c>
      <c r="B15" s="100"/>
      <c r="C15" s="114">
        <f t="shared" ref="C15:H15" si="1">SUM(C16:C22)</f>
        <v>577994.64582914568</v>
      </c>
      <c r="D15" s="114">
        <f t="shared" si="1"/>
        <v>755331.46299773396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  <c r="I15" s="126"/>
      <c r="J15" s="126"/>
    </row>
    <row r="16" spans="1:10">
      <c r="A16" s="49" t="s">
        <v>157</v>
      </c>
      <c r="B16" s="100"/>
      <c r="C16" s="84">
        <f>+FundoManeio!C11</f>
        <v>216626.66666666666</v>
      </c>
      <c r="D16" s="84">
        <f>+FundoManeio!D11</f>
        <v>305943.56</v>
      </c>
      <c r="E16" s="84">
        <f>+FundoManeio!E11</f>
        <v>432379.90536000003</v>
      </c>
      <c r="F16" s="84">
        <f>+FundoManeio!F11</f>
        <v>611461.56208176014</v>
      </c>
      <c r="G16" s="84">
        <f>+FundoManeio!G11</f>
        <v>865241.68453665718</v>
      </c>
      <c r="H16" s="84">
        <f>+FundoManeio!H11</f>
        <v>1225056.0104884026</v>
      </c>
      <c r="I16" s="126"/>
      <c r="J16" s="126"/>
    </row>
    <row r="17" spans="1:10">
      <c r="A17" s="49" t="s">
        <v>33</v>
      </c>
      <c r="B17" s="100"/>
      <c r="C17" s="84">
        <f>+FundoManeio!C10-VN!C87</f>
        <v>289547.83333333331</v>
      </c>
      <c r="D17" s="84">
        <f>+FundoManeio!D10-SUM(VN!C87:D87)</f>
        <v>402203.217</v>
      </c>
      <c r="E17" s="84">
        <f>+FundoManeio!E10-SUM(VN!C87:E87)</f>
        <v>559396.07254199998</v>
      </c>
      <c r="F17" s="84">
        <f>+FundoManeio!F10-SUM(VN!C87:F87)</f>
        <v>779193.07336509216</v>
      </c>
      <c r="G17" s="84">
        <f>+FundoManeio!G10-SUM(VN!C87:G87)</f>
        <v>1086830.1300183553</v>
      </c>
      <c r="H17" s="84">
        <f>+FundoManeio!H10-SUM(VN!C87:H87)</f>
        <v>1517907.6796211342</v>
      </c>
      <c r="I17" s="126"/>
      <c r="J17" s="126"/>
    </row>
    <row r="18" spans="1:10">
      <c r="A18" s="49" t="s">
        <v>427</v>
      </c>
      <c r="B18" s="100"/>
      <c r="C18" s="84">
        <f>+FundoManeio!C12</f>
        <v>0</v>
      </c>
      <c r="D18" s="84">
        <f>+FundoManeio!D12</f>
        <v>0</v>
      </c>
      <c r="E18" s="84">
        <f>+FundoManeio!E12</f>
        <v>0</v>
      </c>
      <c r="F18" s="84">
        <f>+FundoManeio!F12</f>
        <v>0</v>
      </c>
      <c r="G18" s="84">
        <f>+FundoManeio!G12</f>
        <v>0</v>
      </c>
      <c r="H18" s="84">
        <f>+FundoManeio!H12</f>
        <v>0</v>
      </c>
      <c r="I18" s="126"/>
      <c r="J18" s="126"/>
    </row>
    <row r="19" spans="1:10">
      <c r="A19" s="49" t="s">
        <v>284</v>
      </c>
      <c r="B19" s="100"/>
      <c r="C19" s="84"/>
      <c r="D19" s="84"/>
      <c r="E19" s="84"/>
      <c r="F19" s="84"/>
      <c r="G19" s="84"/>
      <c r="H19" s="84"/>
      <c r="I19" s="126"/>
      <c r="J19" s="126"/>
    </row>
    <row r="20" spans="1:10">
      <c r="A20" s="49" t="s">
        <v>428</v>
      </c>
      <c r="B20" s="100"/>
      <c r="C20" s="84"/>
      <c r="D20" s="84"/>
      <c r="E20" s="84"/>
      <c r="F20" s="84"/>
      <c r="G20" s="84"/>
      <c r="H20" s="84"/>
      <c r="I20" s="126"/>
      <c r="J20" s="126"/>
    </row>
    <row r="21" spans="1:10">
      <c r="A21" s="49" t="s">
        <v>158</v>
      </c>
      <c r="B21" s="100"/>
      <c r="C21" s="84"/>
      <c r="D21" s="84"/>
      <c r="E21" s="84"/>
      <c r="F21" s="84"/>
      <c r="G21" s="84"/>
      <c r="H21" s="84"/>
      <c r="I21" s="126"/>
      <c r="J21" s="126"/>
    </row>
    <row r="22" spans="1:10">
      <c r="A22" s="49" t="s">
        <v>429</v>
      </c>
      <c r="B22" s="100"/>
      <c r="C22" s="84">
        <f>+IF(PlanoFinanceiro!C29&gt;0,PlanoFinanceiro!C29,0)+FundoManeio!C9</f>
        <v>71820.145829145695</v>
      </c>
      <c r="D22" s="84">
        <f>+IF(PlanoFinanceiro!D29&gt;0,PlanoFinanceiro!D29,0)+FundoManeio!D9</f>
        <v>47184.685997733977</v>
      </c>
      <c r="E22" s="84">
        <f>+IF(PlanoFinanceiro!E29&gt;0,PlanoFinanceiro!E29,0)+FundoManeio!E9</f>
        <v>20000</v>
      </c>
      <c r="F22" s="84">
        <f>+IF(PlanoFinanceiro!F29&gt;0,PlanoFinanceiro!F29,0)+FundoManeio!F9</f>
        <v>20000</v>
      </c>
      <c r="G22" s="84">
        <f>+IF(PlanoFinanceiro!G29&gt;0,PlanoFinanceiro!G29,0)+FundoManeio!G9</f>
        <v>20000</v>
      </c>
      <c r="H22" s="84">
        <f>+IF(PlanoFinanceiro!H29&gt;0,PlanoFinanceiro!H29,0)+FundoManeio!H9</f>
        <v>20000</v>
      </c>
      <c r="I22" s="126"/>
      <c r="J22" s="126"/>
    </row>
    <row r="23" spans="1:10" ht="10.8" thickBot="1">
      <c r="A23" s="586" t="s">
        <v>283</v>
      </c>
      <c r="B23" s="587"/>
      <c r="C23" s="191">
        <f t="shared" ref="C23:H23" si="2">+C15+C9</f>
        <v>712327.97916247905</v>
      </c>
      <c r="D23" s="191">
        <f t="shared" si="2"/>
        <v>945831.46299773396</v>
      </c>
      <c r="E23" s="191">
        <f t="shared" si="2"/>
        <v>1195192.6445686668</v>
      </c>
      <c r="F23" s="191">
        <f t="shared" si="2"/>
        <v>1578654.6354468523</v>
      </c>
      <c r="G23" s="191">
        <f t="shared" si="2"/>
        <v>2125321.8145550126</v>
      </c>
      <c r="H23" s="191">
        <f t="shared" si="2"/>
        <v>2901463.690109537</v>
      </c>
      <c r="I23" s="126"/>
      <c r="J23" s="126"/>
    </row>
    <row r="24" spans="1:10" ht="10.8" thickTop="1">
      <c r="A24" s="152"/>
      <c r="B24" s="48"/>
      <c r="C24" s="81"/>
      <c r="D24" s="88"/>
      <c r="E24" s="88"/>
      <c r="F24" s="88"/>
      <c r="G24" s="88"/>
      <c r="H24" s="48"/>
      <c r="I24" s="126"/>
      <c r="J24" s="126"/>
    </row>
    <row r="25" spans="1:10">
      <c r="A25" s="597" t="s">
        <v>119</v>
      </c>
      <c r="B25" s="599"/>
      <c r="C25" s="190"/>
      <c r="D25" s="190"/>
      <c r="E25" s="190"/>
      <c r="F25" s="190"/>
      <c r="G25" s="190"/>
      <c r="H25" s="190"/>
      <c r="I25" s="126"/>
      <c r="J25" s="126"/>
    </row>
    <row r="26" spans="1:10">
      <c r="A26" s="82" t="s">
        <v>153</v>
      </c>
      <c r="B26" s="100"/>
      <c r="C26" s="84">
        <f>+Financiamento!C15</f>
        <v>123378.25</v>
      </c>
      <c r="D26" s="84">
        <f>+C26+Financiamento!D15</f>
        <v>242970.25</v>
      </c>
      <c r="E26" s="84">
        <f>+D26+Financiamento!E15</f>
        <v>242970.25</v>
      </c>
      <c r="F26" s="84">
        <f>+E26+Financiamento!F15</f>
        <v>242970.25</v>
      </c>
      <c r="G26" s="84">
        <f>+F26+Financiamento!G15</f>
        <v>242970.25</v>
      </c>
      <c r="H26" s="84">
        <f>+G26+Financiamento!H15</f>
        <v>242970.25</v>
      </c>
      <c r="I26" s="126"/>
      <c r="J26" s="126"/>
    </row>
    <row r="27" spans="1:10">
      <c r="A27" s="82" t="s">
        <v>430</v>
      </c>
      <c r="B27" s="100"/>
      <c r="C27" s="84"/>
      <c r="D27" s="84"/>
      <c r="E27" s="84"/>
      <c r="F27" s="84"/>
      <c r="G27" s="84"/>
      <c r="H27" s="84"/>
      <c r="I27" s="126"/>
      <c r="J27" s="126"/>
    </row>
    <row r="28" spans="1:10">
      <c r="A28" s="82" t="s">
        <v>431</v>
      </c>
      <c r="B28" s="100"/>
      <c r="C28" s="84">
        <f>+Financiamento!C16</f>
        <v>0</v>
      </c>
      <c r="D28" s="84">
        <f>+C28+Financiamento!D16</f>
        <v>0</v>
      </c>
      <c r="E28" s="84">
        <f>+D28+Financiamento!E16</f>
        <v>0</v>
      </c>
      <c r="F28" s="84">
        <f>+E28+Financiamento!F16</f>
        <v>0</v>
      </c>
      <c r="G28" s="84">
        <f>+F28+Financiamento!G16</f>
        <v>0</v>
      </c>
      <c r="H28" s="84">
        <f>+G28+Financiamento!H16</f>
        <v>0</v>
      </c>
      <c r="I28" s="126"/>
      <c r="J28" s="126"/>
    </row>
    <row r="29" spans="1:10">
      <c r="A29" s="82" t="s">
        <v>185</v>
      </c>
      <c r="B29" s="100"/>
      <c r="C29" s="84"/>
      <c r="D29" s="84">
        <f>+C32-PlanoFinanceiro!D22</f>
        <v>32511.130038358453</v>
      </c>
      <c r="E29" s="84">
        <f>+D29+D32-PlanoFinanceiro!E22</f>
        <v>15003.361197734001</v>
      </c>
      <c r="F29" s="84">
        <f>+E29+E32-PlanoFinanceiro!F22</f>
        <v>106051.89691808057</v>
      </c>
      <c r="G29" s="84">
        <f>+F29+F32-PlanoFinanceiro!G22</f>
        <v>315778.88395230041</v>
      </c>
      <c r="H29" s="84">
        <f>+G29+G32-PlanoFinanceiro!H22</f>
        <v>709970.84763218579</v>
      </c>
      <c r="I29" s="126"/>
      <c r="J29" s="126"/>
    </row>
    <row r="30" spans="1:10">
      <c r="A30" s="82" t="s">
        <v>432</v>
      </c>
      <c r="B30" s="100"/>
      <c r="C30" s="84"/>
      <c r="D30" s="84"/>
      <c r="E30" s="84"/>
      <c r="F30" s="84"/>
      <c r="G30" s="84"/>
      <c r="H30" s="84"/>
      <c r="I30" s="126"/>
      <c r="J30" s="126"/>
    </row>
    <row r="31" spans="1:10">
      <c r="A31" s="82" t="s">
        <v>433</v>
      </c>
      <c r="B31" s="100"/>
      <c r="C31" s="84">
        <f>+Financiamento!C19</f>
        <v>0</v>
      </c>
      <c r="D31" s="84">
        <f>+C31+Financiamento!D19</f>
        <v>0</v>
      </c>
      <c r="E31" s="84">
        <f>+D31+Financiamento!E19</f>
        <v>0</v>
      </c>
      <c r="F31" s="84">
        <f>+E31+Financiamento!F19</f>
        <v>0</v>
      </c>
      <c r="G31" s="84">
        <f>+F31+Financiamento!G19</f>
        <v>0</v>
      </c>
      <c r="H31" s="84">
        <f>+G31+Financiamento!H19</f>
        <v>0</v>
      </c>
      <c r="I31" s="126"/>
      <c r="J31" s="126"/>
    </row>
    <row r="32" spans="1:10">
      <c r="A32" s="82" t="s">
        <v>434</v>
      </c>
      <c r="B32" s="100"/>
      <c r="C32" s="84">
        <f>+DR!B31</f>
        <v>32511.130038358453</v>
      </c>
      <c r="D32" s="84">
        <f>+DR!C31</f>
        <v>-17507.768840624452</v>
      </c>
      <c r="E32" s="84">
        <f>+DR!D31</f>
        <v>91048.535720346568</v>
      </c>
      <c r="F32" s="84">
        <f>+DR!E31</f>
        <v>209726.98703421981</v>
      </c>
      <c r="G32" s="84">
        <f>+DR!F31</f>
        <v>394191.96367988538</v>
      </c>
      <c r="H32" s="84">
        <f>+DR!G31</f>
        <v>620389.00590062106</v>
      </c>
      <c r="I32" s="126"/>
      <c r="J32" s="126"/>
    </row>
    <row r="33" spans="1:10" ht="10.8" thickBot="1">
      <c r="A33" s="586" t="s">
        <v>154</v>
      </c>
      <c r="B33" s="588"/>
      <c r="C33" s="243">
        <f t="shared" ref="C33:H33" si="3">SUM(C26:C32)</f>
        <v>155889.38003835845</v>
      </c>
      <c r="D33" s="243">
        <f t="shared" si="3"/>
        <v>257973.61119773399</v>
      </c>
      <c r="E33" s="243">
        <f t="shared" si="3"/>
        <v>349022.14691808057</v>
      </c>
      <c r="F33" s="243">
        <f t="shared" si="3"/>
        <v>558749.13395230041</v>
      </c>
      <c r="G33" s="243">
        <f t="shared" si="3"/>
        <v>952941.09763218579</v>
      </c>
      <c r="H33" s="243">
        <f t="shared" si="3"/>
        <v>1573330.103532807</v>
      </c>
      <c r="I33" s="126"/>
      <c r="J33" s="126"/>
    </row>
    <row r="34" spans="1:10" ht="10.8" thickTop="1">
      <c r="A34" s="48"/>
      <c r="B34" s="48"/>
      <c r="C34" s="93"/>
      <c r="D34" s="93"/>
      <c r="E34" s="93"/>
      <c r="F34" s="93"/>
      <c r="G34" s="93"/>
      <c r="H34" s="93"/>
      <c r="I34" s="126"/>
      <c r="J34" s="126"/>
    </row>
    <row r="35" spans="1:10">
      <c r="A35" s="631" t="s">
        <v>35</v>
      </c>
      <c r="B35" s="632"/>
      <c r="C35" s="241"/>
      <c r="D35" s="241"/>
      <c r="E35" s="241"/>
      <c r="F35" s="241"/>
      <c r="G35" s="241"/>
      <c r="H35" s="241"/>
      <c r="I35" s="126"/>
      <c r="J35" s="126"/>
    </row>
    <row r="36" spans="1:10">
      <c r="A36" s="73"/>
      <c r="B36" s="100"/>
      <c r="C36" s="242"/>
      <c r="D36" s="242"/>
      <c r="E36" s="242"/>
      <c r="F36" s="242"/>
      <c r="G36" s="242"/>
      <c r="H36" s="242"/>
      <c r="I36" s="126"/>
      <c r="J36" s="126"/>
    </row>
    <row r="37" spans="1:10">
      <c r="A37" s="73" t="s">
        <v>435</v>
      </c>
      <c r="B37" s="100"/>
      <c r="C37" s="114">
        <f t="shared" ref="C37:H37" si="4">SUM(C38:C40)</f>
        <v>370134.75</v>
      </c>
      <c r="D37" s="114">
        <f t="shared" si="4"/>
        <v>432045.57520000002</v>
      </c>
      <c r="E37" s="114">
        <f t="shared" si="4"/>
        <v>358018.62520000001</v>
      </c>
      <c r="F37" s="114">
        <f t="shared" si="4"/>
        <v>271609.51016000001</v>
      </c>
      <c r="G37" s="114">
        <f t="shared" si="4"/>
        <v>185200.39511999997</v>
      </c>
      <c r="H37" s="114">
        <f t="shared" si="4"/>
        <v>98791.280079999968</v>
      </c>
      <c r="I37" s="126"/>
      <c r="J37" s="126"/>
    </row>
    <row r="38" spans="1:10">
      <c r="A38" s="49" t="s">
        <v>155</v>
      </c>
      <c r="B38" s="100"/>
      <c r="C38" s="84"/>
      <c r="D38" s="84"/>
      <c r="E38" s="84"/>
      <c r="F38" s="84"/>
      <c r="G38" s="84"/>
      <c r="H38" s="84"/>
      <c r="I38" s="126"/>
      <c r="J38" s="126"/>
    </row>
    <row r="39" spans="1:10">
      <c r="A39" s="49" t="s">
        <v>436</v>
      </c>
      <c r="B39" s="100"/>
      <c r="C39" s="84">
        <f>+Financiamento!C101</f>
        <v>370134.75</v>
      </c>
      <c r="D39" s="84">
        <f>+Financiamento!D101</f>
        <v>432045.57520000002</v>
      </c>
      <c r="E39" s="84">
        <f>+Financiamento!E101</f>
        <v>358018.62520000001</v>
      </c>
      <c r="F39" s="84">
        <f>+Financiamento!F101</f>
        <v>271609.51016000001</v>
      </c>
      <c r="G39" s="84">
        <f>+Financiamento!G101</f>
        <v>185200.39511999997</v>
      </c>
      <c r="H39" s="84">
        <f>+Financiamento!H101</f>
        <v>98791.280079999968</v>
      </c>
      <c r="I39" s="126"/>
      <c r="J39" s="126"/>
    </row>
    <row r="40" spans="1:10">
      <c r="A40" s="49" t="s">
        <v>437</v>
      </c>
      <c r="B40" s="100"/>
      <c r="C40" s="192"/>
      <c r="D40" s="192"/>
      <c r="E40" s="192"/>
      <c r="F40" s="192"/>
      <c r="G40" s="192"/>
      <c r="H40" s="192"/>
      <c r="I40" s="126"/>
      <c r="J40" s="126"/>
    </row>
    <row r="41" spans="1:10">
      <c r="A41" s="49"/>
      <c r="B41" s="100"/>
      <c r="C41" s="192"/>
      <c r="D41" s="192"/>
      <c r="E41" s="192"/>
      <c r="F41" s="192"/>
      <c r="G41" s="192"/>
      <c r="H41" s="192"/>
      <c r="I41" s="126"/>
      <c r="J41" s="126"/>
    </row>
    <row r="42" spans="1:10">
      <c r="A42" s="73" t="s">
        <v>438</v>
      </c>
      <c r="B42" s="100"/>
      <c r="C42" s="280">
        <f t="shared" ref="C42:H42" si="5">SUM(C43:C47)</f>
        <v>186303.84912412058</v>
      </c>
      <c r="D42" s="280">
        <f t="shared" si="5"/>
        <v>255812.27660000001</v>
      </c>
      <c r="E42" s="280">
        <f t="shared" si="5"/>
        <v>488151.87245058618</v>
      </c>
      <c r="F42" s="280">
        <f t="shared" si="5"/>
        <v>748295.99133455183</v>
      </c>
      <c r="G42" s="280">
        <f t="shared" si="5"/>
        <v>987180.32180282706</v>
      </c>
      <c r="H42" s="280">
        <f t="shared" si="5"/>
        <v>1229342.3064967303</v>
      </c>
      <c r="I42" s="126"/>
      <c r="J42" s="126"/>
    </row>
    <row r="43" spans="1:10">
      <c r="A43" s="49" t="s">
        <v>11</v>
      </c>
      <c r="B43" s="100"/>
      <c r="C43" s="192">
        <f>+FundoManeio!C17</f>
        <v>123146.09999999999</v>
      </c>
      <c r="D43" s="192">
        <f>+FundoManeio!D17</f>
        <v>169493.97140000001</v>
      </c>
      <c r="E43" s="192">
        <f>+FundoManeio!E17</f>
        <v>234818.47898839999</v>
      </c>
      <c r="F43" s="192">
        <f>+FundoManeio!F17</f>
        <v>327031.71945829847</v>
      </c>
      <c r="G43" s="192">
        <f>+FundoManeio!G17</f>
        <v>457329.37964360463</v>
      </c>
      <c r="H43" s="192">
        <f>+FundoManeio!H17</f>
        <v>641613.55855894764</v>
      </c>
      <c r="I43" s="126"/>
      <c r="J43" s="126"/>
    </row>
    <row r="44" spans="1:10">
      <c r="A44" s="49" t="s">
        <v>427</v>
      </c>
      <c r="B44" s="100"/>
      <c r="C44" s="192">
        <f>+FundoManeio!C18+DR!B30</f>
        <v>63157.749124120593</v>
      </c>
      <c r="D44" s="192">
        <f>+FundoManeio!D18+DR!C30</f>
        <v>86318.305200000003</v>
      </c>
      <c r="E44" s="192">
        <f>+FundoManeio!E18+DR!D30</f>
        <v>138399.11940024004</v>
      </c>
      <c r="F44" s="192">
        <f>+FundoManeio!F18+DR!E30</f>
        <v>217089.69503280486</v>
      </c>
      <c r="G44" s="192">
        <f>+FundoManeio!G18+DR!F30</f>
        <v>318687.09453716746</v>
      </c>
      <c r="H44" s="192">
        <f>+FundoManeio!H18+DR!G30</f>
        <v>449175.15473644494</v>
      </c>
      <c r="I44" s="126"/>
      <c r="J44" s="126"/>
    </row>
    <row r="45" spans="1:10">
      <c r="A45" s="49" t="s">
        <v>284</v>
      </c>
      <c r="B45" s="100"/>
      <c r="C45" s="192">
        <f>+Financiamento!C17</f>
        <v>0</v>
      </c>
      <c r="D45" s="192">
        <f>+C45+Financiamento!D17</f>
        <v>0</v>
      </c>
      <c r="E45" s="192">
        <f>+D45+Financiamento!E17</f>
        <v>78894</v>
      </c>
      <c r="F45" s="192">
        <f>+E45+Financiamento!F17</f>
        <v>78894</v>
      </c>
      <c r="G45" s="192">
        <f>+F45+Financiamento!G17</f>
        <v>78894</v>
      </c>
      <c r="H45" s="192">
        <f>+G45+Financiamento!H17</f>
        <v>78894</v>
      </c>
      <c r="I45" s="126"/>
      <c r="J45" s="126"/>
    </row>
    <row r="46" spans="1:10">
      <c r="A46" s="49" t="s">
        <v>436</v>
      </c>
      <c r="B46" s="100"/>
      <c r="C46" s="192">
        <f>+IF(PlanoFinanceiro!C29&lt;0,-PlanoFinanceiro!C29,0)</f>
        <v>0</v>
      </c>
      <c r="D46" s="192">
        <f>+IF(PlanoFinanceiro!D29&lt;0,-PlanoFinanceiro!D29,0)</f>
        <v>0</v>
      </c>
      <c r="E46" s="192">
        <f>+IF(PlanoFinanceiro!E29&lt;0,-PlanoFinanceiro!E29,0)</f>
        <v>36040.274061946111</v>
      </c>
      <c r="F46" s="192">
        <f>+IF(PlanoFinanceiro!F29&lt;0,-PlanoFinanceiro!F29,0)</f>
        <v>125280.57684344859</v>
      </c>
      <c r="G46" s="192">
        <f>+IF(PlanoFinanceiro!G29&lt;0,-PlanoFinanceiro!G29,0)</f>
        <v>132269.84762205495</v>
      </c>
      <c r="H46" s="192">
        <f>+IF(PlanoFinanceiro!H29&lt;0,-PlanoFinanceiro!H29,0)</f>
        <v>59659.593201337702</v>
      </c>
      <c r="I46" s="126"/>
      <c r="J46" s="126"/>
    </row>
    <row r="47" spans="1:10">
      <c r="A47" s="49" t="s">
        <v>437</v>
      </c>
      <c r="B47" s="100"/>
      <c r="C47" s="192"/>
      <c r="D47" s="192"/>
      <c r="E47" s="192"/>
      <c r="F47" s="192"/>
      <c r="G47" s="192"/>
      <c r="H47" s="192"/>
      <c r="I47" s="126"/>
      <c r="J47" s="126"/>
    </row>
    <row r="48" spans="1:10">
      <c r="A48" s="73"/>
      <c r="B48" s="100"/>
      <c r="C48" s="192"/>
      <c r="D48" s="192"/>
      <c r="E48" s="192"/>
      <c r="F48" s="192"/>
      <c r="G48" s="192"/>
      <c r="H48" s="192"/>
      <c r="I48" s="126"/>
      <c r="J48" s="126"/>
    </row>
    <row r="49" spans="1:10" ht="10.8" thickBot="1">
      <c r="A49" s="586" t="s">
        <v>36</v>
      </c>
      <c r="B49" s="588"/>
      <c r="C49" s="243">
        <f t="shared" ref="C49:H49" si="6">+C42+C37</f>
        <v>556438.59912412055</v>
      </c>
      <c r="D49" s="243">
        <f t="shared" si="6"/>
        <v>687857.85180000006</v>
      </c>
      <c r="E49" s="243">
        <f t="shared" si="6"/>
        <v>846170.49765058619</v>
      </c>
      <c r="F49" s="243">
        <f t="shared" si="6"/>
        <v>1019905.5014945518</v>
      </c>
      <c r="G49" s="243">
        <f t="shared" si="6"/>
        <v>1172380.7169228271</v>
      </c>
      <c r="H49" s="243">
        <f t="shared" si="6"/>
        <v>1328133.5865767302</v>
      </c>
      <c r="I49" s="126"/>
      <c r="J49" s="126"/>
    </row>
    <row r="50" spans="1:10" ht="10.8" thickTop="1">
      <c r="A50" s="88"/>
      <c r="B50" s="88"/>
      <c r="C50" s="93"/>
      <c r="D50" s="48"/>
      <c r="E50" s="48"/>
      <c r="F50" s="48"/>
      <c r="G50" s="48"/>
      <c r="H50" s="48"/>
      <c r="I50" s="126"/>
      <c r="J50" s="126"/>
    </row>
    <row r="51" spans="1:10" ht="10.8" thickBot="1">
      <c r="A51" s="587" t="s">
        <v>120</v>
      </c>
      <c r="B51" s="587"/>
      <c r="C51" s="28">
        <f t="shared" ref="C51:H51" si="7">+C49+C33</f>
        <v>712327.97916247905</v>
      </c>
      <c r="D51" s="28">
        <f t="shared" si="7"/>
        <v>945831.46299773408</v>
      </c>
      <c r="E51" s="28">
        <f t="shared" si="7"/>
        <v>1195192.6445686668</v>
      </c>
      <c r="F51" s="28">
        <f t="shared" si="7"/>
        <v>1578654.6354468521</v>
      </c>
      <c r="G51" s="28">
        <f t="shared" si="7"/>
        <v>2125321.8145550126</v>
      </c>
      <c r="H51" s="28">
        <f t="shared" si="7"/>
        <v>2901463.690109537</v>
      </c>
      <c r="I51" s="126"/>
      <c r="J51" s="126"/>
    </row>
    <row r="52" spans="1:10" ht="10.8" thickTop="1">
      <c r="C52" s="193"/>
      <c r="D52" s="193"/>
      <c r="E52" s="193"/>
      <c r="F52" s="193"/>
      <c r="G52" s="193"/>
      <c r="H52" s="193"/>
    </row>
    <row r="53" spans="1:10">
      <c r="C53" s="443">
        <f t="shared" ref="C53:H53" si="8">+C23-C51</f>
        <v>0</v>
      </c>
      <c r="D53" s="443">
        <f t="shared" si="8"/>
        <v>0</v>
      </c>
      <c r="E53" s="444">
        <f t="shared" si="8"/>
        <v>0</v>
      </c>
      <c r="F53" s="443">
        <f t="shared" si="8"/>
        <v>0</v>
      </c>
      <c r="G53" s="443">
        <f t="shared" si="8"/>
        <v>0</v>
      </c>
      <c r="H53" s="443">
        <f t="shared" si="8"/>
        <v>0</v>
      </c>
    </row>
    <row r="54" spans="1:10">
      <c r="C54" s="193"/>
      <c r="D54" s="195">
        <f>+D53-C53</f>
        <v>0</v>
      </c>
      <c r="E54" s="195">
        <f>+E53-D53</f>
        <v>0</v>
      </c>
      <c r="F54" s="195">
        <f>+F53-E53</f>
        <v>0</v>
      </c>
      <c r="G54" s="195">
        <f>+G53-F53</f>
        <v>0</v>
      </c>
      <c r="H54" s="195">
        <f>+H53-G53</f>
        <v>0</v>
      </c>
    </row>
    <row r="55" spans="1:10">
      <c r="C55" s="193"/>
      <c r="D55" s="193"/>
      <c r="E55" s="193"/>
      <c r="F55" s="193"/>
      <c r="G55" s="193"/>
      <c r="H55" s="193"/>
    </row>
    <row r="56" spans="1:10">
      <c r="C56" s="193"/>
      <c r="D56" s="194"/>
      <c r="E56" s="196"/>
      <c r="F56" s="196"/>
      <c r="G56" s="193"/>
      <c r="H56" s="193"/>
    </row>
    <row r="57" spans="1:10">
      <c r="C57" s="189"/>
      <c r="D57" s="189"/>
      <c r="E57" s="189"/>
      <c r="F57" s="189"/>
      <c r="G57" s="189"/>
      <c r="H57" s="189"/>
    </row>
    <row r="58" spans="1:10">
      <c r="C58" s="189"/>
      <c r="D58" s="189"/>
      <c r="E58" s="189"/>
      <c r="F58" s="189"/>
      <c r="G58" s="189"/>
      <c r="H58" s="189"/>
    </row>
    <row r="59" spans="1:10">
      <c r="C59" s="189"/>
      <c r="D59" s="189"/>
      <c r="E59" s="189"/>
      <c r="F59" s="189"/>
      <c r="G59" s="189"/>
      <c r="H59" s="189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60B3-9959-4291-96C3-E43D783D4904}">
  <sheetPr codeName="Sheet11">
    <pageSetUpPr fitToPage="1"/>
  </sheetPr>
  <dimension ref="A1:G28"/>
  <sheetViews>
    <sheetView showGridLines="0" zoomScaleNormal="100" workbookViewId="0">
      <selection activeCell="J7" sqref="J7"/>
    </sheetView>
  </sheetViews>
  <sheetFormatPr defaultColWidth="8.6640625" defaultRowHeight="10.199999999999999"/>
  <cols>
    <col min="1" max="1" width="42.88671875" style="56" bestFit="1" customWidth="1"/>
    <col min="2" max="11" width="11.44140625" style="56" customWidth="1"/>
    <col min="12" max="16384" width="8.6640625" style="56"/>
  </cols>
  <sheetData>
    <row r="1" spans="1:7" ht="13.8">
      <c r="A1" s="48"/>
      <c r="B1" s="48"/>
      <c r="C1" s="42"/>
      <c r="D1" s="42"/>
      <c r="E1" s="42"/>
      <c r="F1" s="406" t="str">
        <f>+VN!G1</f>
        <v>Empresa: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8"/>
    </row>
    <row r="3" spans="1:7">
      <c r="A3" s="48"/>
      <c r="B3" s="48"/>
      <c r="C3" s="48"/>
      <c r="D3" s="48"/>
      <c r="E3" s="48"/>
      <c r="F3" s="48"/>
      <c r="G3" s="48"/>
    </row>
    <row r="4" spans="1:7" ht="15.6">
      <c r="A4" s="576" t="s">
        <v>41</v>
      </c>
      <c r="B4" s="576"/>
      <c r="C4" s="576"/>
      <c r="D4" s="576"/>
      <c r="E4" s="576"/>
      <c r="F4" s="576"/>
      <c r="G4" s="576"/>
    </row>
    <row r="5" spans="1:7" ht="10.8" thickBot="1">
      <c r="A5" s="48"/>
      <c r="B5" s="48"/>
      <c r="C5" s="48"/>
      <c r="D5" s="48"/>
      <c r="E5" s="48"/>
      <c r="F5" s="48"/>
      <c r="G5" s="48"/>
    </row>
    <row r="6" spans="1:7" ht="10.8" thickBot="1">
      <c r="A6" s="282" t="s">
        <v>82</v>
      </c>
      <c r="B6" s="283">
        <f>+VN!C8</f>
        <v>2025</v>
      </c>
      <c r="C6" s="283">
        <f>+VN!D8</f>
        <v>2026</v>
      </c>
      <c r="D6" s="283">
        <f>+VN!E8</f>
        <v>2027</v>
      </c>
      <c r="E6" s="283">
        <f>+VN!F8</f>
        <v>2028</v>
      </c>
      <c r="F6" s="283">
        <f>+VN!G8</f>
        <v>2029</v>
      </c>
      <c r="G6" s="284">
        <f>+VN!H8</f>
        <v>2030</v>
      </c>
    </row>
    <row r="7" spans="1:7">
      <c r="A7" s="297" t="s">
        <v>81</v>
      </c>
      <c r="B7" s="155"/>
      <c r="C7" s="155">
        <f>+(DR!C8/DR!B8)-1</f>
        <v>0.39370753378169954</v>
      </c>
      <c r="D7" s="155">
        <f>+(DR!D8/DR!C8)-1</f>
        <v>0.39539672915728286</v>
      </c>
      <c r="E7" s="155">
        <f>+(DR!E8/DR!D8)-1</f>
        <v>0.39735532167223342</v>
      </c>
      <c r="F7" s="155">
        <f>+(DR!F8/DR!E8)-1</f>
        <v>0.39912699688676145</v>
      </c>
      <c r="G7" s="286">
        <f>+(DR!G8/DR!F8)-1</f>
        <v>0.40081659982093232</v>
      </c>
    </row>
    <row r="8" spans="1:7" ht="10.8" thickBot="1">
      <c r="A8" s="297" t="s">
        <v>448</v>
      </c>
      <c r="B8" s="287">
        <f>DR!B31/DR!B8</f>
        <v>2.0059930917725954E-2</v>
      </c>
      <c r="C8" s="287">
        <f>DR!C31/DR!C8</f>
        <v>-7.7509783550692903E-3</v>
      </c>
      <c r="D8" s="287">
        <f>DR!D31/DR!D8</f>
        <v>2.8886903143739706E-2</v>
      </c>
      <c r="E8" s="287">
        <f>DR!E31/DR!E8</f>
        <v>4.7618475138508275E-2</v>
      </c>
      <c r="F8" s="287">
        <f>DR!F31/DR!F8</f>
        <v>6.3969329093356814E-2</v>
      </c>
      <c r="G8" s="288">
        <f>DR!G31/DR!G8</f>
        <v>7.1869867326936315E-2</v>
      </c>
    </row>
    <row r="9" spans="1:7" ht="10.8" thickBot="1">
      <c r="A9" s="48"/>
      <c r="B9" s="48"/>
      <c r="C9" s="48"/>
      <c r="D9" s="48"/>
      <c r="E9" s="48"/>
      <c r="F9" s="48"/>
      <c r="G9" s="48"/>
    </row>
    <row r="10" spans="1:7" ht="10.8" thickBot="1">
      <c r="A10" s="282" t="s">
        <v>285</v>
      </c>
      <c r="B10" s="283">
        <f t="shared" ref="B10:G10" si="0">+B6</f>
        <v>2025</v>
      </c>
      <c r="C10" s="283">
        <f t="shared" si="0"/>
        <v>2026</v>
      </c>
      <c r="D10" s="283">
        <f t="shared" si="0"/>
        <v>2027</v>
      </c>
      <c r="E10" s="283">
        <f t="shared" si="0"/>
        <v>2028</v>
      </c>
      <c r="F10" s="283">
        <f t="shared" si="0"/>
        <v>2029</v>
      </c>
      <c r="G10" s="284">
        <f t="shared" si="0"/>
        <v>2030</v>
      </c>
    </row>
    <row r="11" spans="1:7">
      <c r="A11" s="297" t="s">
        <v>85</v>
      </c>
      <c r="B11" s="155">
        <f>DR!B31/Balanço!C23</f>
        <v>4.5640675348149987E-2</v>
      </c>
      <c r="C11" s="155">
        <f>DR!C31/Balanço!D23</f>
        <v>-1.8510452998819725E-2</v>
      </c>
      <c r="D11" s="155">
        <f>DR!D31/Balanço!E23</f>
        <v>7.6178962558128088E-2</v>
      </c>
      <c r="E11" s="155">
        <f>DR!E31/Balanço!F23</f>
        <v>0.13285172217218663</v>
      </c>
      <c r="F11" s="155">
        <f>DR!F31/Balanço!G23</f>
        <v>0.18547401197329683</v>
      </c>
      <c r="G11" s="286">
        <f>DR!G31/Balanço!H23</f>
        <v>0.21381932436907386</v>
      </c>
    </row>
    <row r="12" spans="1:7">
      <c r="A12" s="297" t="s">
        <v>286</v>
      </c>
      <c r="B12" s="155">
        <f>+DR!B26/Balanço!C23</f>
        <v>7.6323175452486902E-2</v>
      </c>
      <c r="C12" s="155">
        <f>+DR!C26/Balanço!D23</f>
        <v>-2.0270348453588229E-3</v>
      </c>
      <c r="D12" s="155">
        <f>+DR!D26/Balanço!E23</f>
        <v>0.10569325930905107</v>
      </c>
      <c r="E12" s="155">
        <f>+DR!E26/Balanço!F23</f>
        <v>0.17642179009973197</v>
      </c>
      <c r="F12" s="155">
        <f>+DR!F26/Balanço!G23</f>
        <v>0.23942903700511428</v>
      </c>
      <c r="G12" s="286">
        <f>+DR!G26/Balanço!H23</f>
        <v>0.27298078421487215</v>
      </c>
    </row>
    <row r="13" spans="1:7">
      <c r="A13" s="297" t="s">
        <v>287</v>
      </c>
      <c r="B13" s="155">
        <f>DR!B8/Balanço!C23</f>
        <v>2.2752159783272039</v>
      </c>
      <c r="C13" s="155">
        <f>DR!C8/Balanço!D23</f>
        <v>2.3881440704467365</v>
      </c>
      <c r="D13" s="155">
        <f>DR!D8/Balanço!E23</f>
        <v>2.6371453588868836</v>
      </c>
      <c r="E13" s="155">
        <f>DR!E8/Balanço!F23</f>
        <v>2.7899197062854211</v>
      </c>
      <c r="F13" s="155">
        <f>DR!F8/Balanço!G23</f>
        <v>2.89942093503304</v>
      </c>
      <c r="G13" s="286">
        <f>DR!G8/Balanço!H23</f>
        <v>2.9750900108999629</v>
      </c>
    </row>
    <row r="14" spans="1:7" ht="10.8" thickBot="1">
      <c r="A14" s="297" t="s">
        <v>86</v>
      </c>
      <c r="B14" s="287">
        <f>+DR!B31/Balanço!C33</f>
        <v>0.20855256484026494</v>
      </c>
      <c r="C14" s="287">
        <f>+DR!C31/Balanço!D33</f>
        <v>-6.78665106843232E-2</v>
      </c>
      <c r="D14" s="287">
        <f>+DR!D31/Balanço!E33</f>
        <v>0.26086750231846084</v>
      </c>
      <c r="E14" s="287">
        <f>+DR!E31/Balanço!F33</f>
        <v>0.37535089414943756</v>
      </c>
      <c r="F14" s="287">
        <f>+DR!F31/Balanço!G33</f>
        <v>0.4136582677138716</v>
      </c>
      <c r="G14" s="288">
        <f>+DR!G31/Balanço!H33</f>
        <v>0.39431585559036803</v>
      </c>
    </row>
    <row r="15" spans="1:7" ht="10.8" thickBot="1">
      <c r="A15" s="48"/>
      <c r="B15" s="48"/>
      <c r="C15" s="48"/>
      <c r="D15" s="48"/>
      <c r="E15" s="48"/>
      <c r="F15" s="48"/>
      <c r="G15" s="48"/>
    </row>
    <row r="16" spans="1:7" ht="10.8" thickBot="1">
      <c r="A16" s="282" t="s">
        <v>83</v>
      </c>
      <c r="B16" s="292">
        <f t="shared" ref="B16:G16" si="1">+B6</f>
        <v>2025</v>
      </c>
      <c r="C16" s="292">
        <f t="shared" si="1"/>
        <v>2026</v>
      </c>
      <c r="D16" s="292">
        <f t="shared" si="1"/>
        <v>2027</v>
      </c>
      <c r="E16" s="292">
        <f t="shared" si="1"/>
        <v>2028</v>
      </c>
      <c r="F16" s="292">
        <f t="shared" si="1"/>
        <v>2029</v>
      </c>
      <c r="G16" s="293">
        <f t="shared" si="1"/>
        <v>2030</v>
      </c>
    </row>
    <row r="17" spans="1:7">
      <c r="A17" s="297" t="s">
        <v>12</v>
      </c>
      <c r="B17" s="155">
        <f>Balanço!C33/Balanço!C23</f>
        <v>0.21884494867328624</v>
      </c>
      <c r="C17" s="155">
        <f>Balanço!D33/Balanço!D23</f>
        <v>0.27274796968596088</v>
      </c>
      <c r="D17" s="155">
        <f>Balanço!E33/Balanço!E23</f>
        <v>0.29202166571568822</v>
      </c>
      <c r="E17" s="155">
        <f>Balanço!F33/Balanço!F23</f>
        <v>0.35394007112527276</v>
      </c>
      <c r="F17" s="155">
        <f>Balanço!G33/Balanço!G23</f>
        <v>0.44837496660791909</v>
      </c>
      <c r="G17" s="294">
        <f>Balanço!H33/Balanço!H23</f>
        <v>0.54225393510728725</v>
      </c>
    </row>
    <row r="18" spans="1:7">
      <c r="A18" s="297" t="s">
        <v>9</v>
      </c>
      <c r="B18" s="155">
        <f>Balanço!C23/Balanço!C49</f>
        <v>1.2801555828149611</v>
      </c>
      <c r="C18" s="155">
        <f>Balanço!D23/Balanço!D49</f>
        <v>1.3750391313011308</v>
      </c>
      <c r="D18" s="155">
        <f>Balanço!E23/Balanço!E49</f>
        <v>1.4124726020195095</v>
      </c>
      <c r="E18" s="155">
        <f>Balanço!F23/Balanço!F49</f>
        <v>1.5478440239154698</v>
      </c>
      <c r="F18" s="155">
        <f>Balanço!G23/Balanço!G49</f>
        <v>1.8128256323879077</v>
      </c>
      <c r="G18" s="294">
        <f>Balanço!H23/Balanço!H49</f>
        <v>2.1846173603576062</v>
      </c>
    </row>
    <row r="19" spans="1:7" ht="10.8" thickBot="1">
      <c r="A19" s="297" t="s">
        <v>288</v>
      </c>
      <c r="B19" s="295">
        <f>+DR!B26/DR!B28</f>
        <v>4.0352940762859024</v>
      </c>
      <c r="C19" s="295">
        <f>+DR!C26/DR!C28</f>
        <v>-0.12191131779756641</v>
      </c>
      <c r="D19" s="295">
        <f>+DR!D26/DR!D28</f>
        <v>8.0325651572594374</v>
      </c>
      <c r="E19" s="295">
        <f>+DR!E26/DR!E28</f>
        <v>21.371369318202515</v>
      </c>
      <c r="F19" s="295">
        <f>+DR!F26/DR!F28</f>
        <v>51.4701178590878</v>
      </c>
      <c r="G19" s="296">
        <f>+DR!G26/DR!G28</f>
        <v>117.49135827218669</v>
      </c>
    </row>
    <row r="20" spans="1:7" ht="10.8" thickBot="1">
      <c r="A20" s="48"/>
      <c r="B20" s="48"/>
      <c r="C20" s="48"/>
      <c r="D20" s="48"/>
      <c r="E20" s="48"/>
      <c r="F20" s="48"/>
      <c r="G20" s="48"/>
    </row>
    <row r="21" spans="1:7" ht="10.8" thickBot="1">
      <c r="A21" s="282" t="s">
        <v>84</v>
      </c>
      <c r="B21" s="283">
        <f t="shared" ref="B21:G21" si="2">+B6</f>
        <v>2025</v>
      </c>
      <c r="C21" s="283">
        <f t="shared" si="2"/>
        <v>2026</v>
      </c>
      <c r="D21" s="283">
        <f t="shared" si="2"/>
        <v>2027</v>
      </c>
      <c r="E21" s="283">
        <f t="shared" si="2"/>
        <v>2028</v>
      </c>
      <c r="F21" s="283">
        <f t="shared" si="2"/>
        <v>2029</v>
      </c>
      <c r="G21" s="284">
        <f t="shared" si="2"/>
        <v>2030</v>
      </c>
    </row>
    <row r="22" spans="1:7">
      <c r="A22" s="297" t="s">
        <v>199</v>
      </c>
      <c r="B22" s="281">
        <f>Balanço!C15/Balanço!C42</f>
        <v>3.1024299741873302</v>
      </c>
      <c r="C22" s="281">
        <f>Balanço!D15/Balanço!D42</f>
        <v>2.9526787104858356</v>
      </c>
      <c r="D22" s="281">
        <f>Balanço!E15/Balanço!E42</f>
        <v>2.0726663872510671</v>
      </c>
      <c r="E22" s="281">
        <f>Balanço!F15/Balanço!F42</f>
        <v>1.8851559433467149</v>
      </c>
      <c r="F22" s="281">
        <f>Balanço!G15/Balanço!G42</f>
        <v>1.997681447857002</v>
      </c>
      <c r="G22" s="289">
        <f>Balanço!H15/Balanço!H42</f>
        <v>2.2475137116066426</v>
      </c>
    </row>
    <row r="23" spans="1:7" ht="10.8" thickBot="1">
      <c r="A23" s="297" t="s">
        <v>10</v>
      </c>
      <c r="B23" s="290">
        <f>(Balanço!C17+Balanço!C18+Balanço!C19+Balanço!C20+Balanço!C21+Balanço!C22)/Balanço!C42</f>
        <v>1.9396699577673568</v>
      </c>
      <c r="C23" s="290">
        <f>(Balanço!D17+Balanço!D18+Balanço!D19+Balanço!D20+Balanço!D21+Balanço!D22)/Balanço!D42</f>
        <v>1.7567096816874737</v>
      </c>
      <c r="D23" s="290">
        <f>(Balanço!E17+Balanço!E18+Balanço!E19+Balanço!E20+Balanço!E21+Balanço!E22)/Balanço!E42</f>
        <v>1.1869176484632866</v>
      </c>
      <c r="E23" s="290">
        <f>(Balanço!F17+Balanço!F18+Balanço!F19+Balanço!F20+Balanço!F21+Balanço!F22)/Balanço!F42</f>
        <v>1.0680173121598149</v>
      </c>
      <c r="F23" s="290">
        <f>(Balanço!G17+Balanço!G18+Balanço!G19+Balanço!G20+Balanço!G21+Balanço!G22)/Balanço!G42</f>
        <v>1.1212035993556062</v>
      </c>
      <c r="G23" s="291">
        <f>(Balanço!H17+Balanço!H18+Balanço!H19+Balanço!H20+Balanço!H21+Balanço!H22)/Balanço!H42</f>
        <v>1.2510003694607452</v>
      </c>
    </row>
    <row r="24" spans="1:7" ht="10.8" thickBot="1">
      <c r="A24" s="48"/>
      <c r="B24" s="48"/>
      <c r="C24" s="48"/>
      <c r="D24" s="48"/>
      <c r="E24" s="48"/>
      <c r="F24" s="48"/>
      <c r="G24" s="48"/>
    </row>
    <row r="25" spans="1:7" ht="10.8" thickBot="1">
      <c r="A25" s="282" t="s">
        <v>289</v>
      </c>
      <c r="B25" s="283">
        <f t="shared" ref="B25:G25" si="3">+B6</f>
        <v>2025</v>
      </c>
      <c r="C25" s="283">
        <f t="shared" si="3"/>
        <v>2026</v>
      </c>
      <c r="D25" s="283">
        <f t="shared" si="3"/>
        <v>2027</v>
      </c>
      <c r="E25" s="283">
        <f t="shared" si="3"/>
        <v>2028</v>
      </c>
      <c r="F25" s="283">
        <f t="shared" si="3"/>
        <v>2029</v>
      </c>
      <c r="G25" s="284">
        <f t="shared" si="3"/>
        <v>2030</v>
      </c>
    </row>
    <row r="26" spans="1:7">
      <c r="A26" s="297" t="s">
        <v>47</v>
      </c>
      <c r="B26" s="185">
        <f>DR!B8-DR!B11-DR!B13-DR!B14</f>
        <v>198300</v>
      </c>
      <c r="C26" s="185">
        <f>DR!C8-DR!C11-DR!C13-DR!C14</f>
        <v>295574.8400000002</v>
      </c>
      <c r="D26" s="185">
        <f>DR!D8-DR!D11-DR!D13-DR!D14</f>
        <v>425065.87943999993</v>
      </c>
      <c r="E26" s="185">
        <f>DR!E8-DR!E11-DR!E13-DR!E14</f>
        <v>597696.82340144017</v>
      </c>
      <c r="F26" s="185">
        <f>DR!F8-DR!F11-DR!F13-DR!F14</f>
        <v>827384.83538486878</v>
      </c>
      <c r="G26" s="285">
        <f>DR!G8-DR!G11-DR!G13-DR!G14</f>
        <v>1132677.2534970781</v>
      </c>
    </row>
    <row r="27" spans="1:7">
      <c r="A27" s="297" t="s">
        <v>121</v>
      </c>
      <c r="B27" s="155">
        <f>+B26/DR!B26</f>
        <v>3.6474242403805248</v>
      </c>
      <c r="C27" s="155">
        <f>+C26/DR!C26</f>
        <v>-154.16738007895037</v>
      </c>
      <c r="D27" s="155">
        <f>+D26/DR!D26</f>
        <v>3.3648913260346065</v>
      </c>
      <c r="E27" s="155">
        <f>+E26/DR!E26</f>
        <v>2.1460586865204103</v>
      </c>
      <c r="F27" s="155">
        <f>+F26/DR!F26</f>
        <v>1.6259457008469647</v>
      </c>
      <c r="G27" s="286">
        <f>+G26/DR!G26</f>
        <v>1.4300688997173494</v>
      </c>
    </row>
    <row r="28" spans="1:7" ht="10.8" thickBot="1">
      <c r="A28" s="297" t="s">
        <v>200</v>
      </c>
      <c r="B28" s="287">
        <f>+DR!B26/DR!B29</f>
        <v>1.3210871256292376</v>
      </c>
      <c r="C28" s="287">
        <f>+DR!C26/DR!C29</f>
        <v>0.10950757636715168</v>
      </c>
      <c r="D28" s="287">
        <f>+DR!D26/DR!D29</f>
        <v>1.1421956253000713</v>
      </c>
      <c r="E28" s="287">
        <f>+DR!E26/DR!E29</f>
        <v>1.0490885018272418</v>
      </c>
      <c r="F28" s="287">
        <f>+DR!F26/DR!F29</f>
        <v>1.019813704473447</v>
      </c>
      <c r="G28" s="288">
        <f>+DR!G26/DR!G29</f>
        <v>1.0085843277547117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1AE5-A8E9-4C92-AF26-843A35378BD8}">
  <sheetPr codeName="Sheet13">
    <pageSetUpPr fitToPage="1"/>
  </sheetPr>
  <dimension ref="A1:O103"/>
  <sheetViews>
    <sheetView showGridLines="0" tabSelected="1" zoomScaleNormal="100" workbookViewId="0">
      <selection activeCell="L85" sqref="L85"/>
    </sheetView>
  </sheetViews>
  <sheetFormatPr defaultColWidth="8.6640625" defaultRowHeight="10.199999999999999"/>
  <cols>
    <col min="1" max="1" width="38" style="56" customWidth="1"/>
    <col min="2" max="2" width="17.109375" style="56" customWidth="1"/>
    <col min="3" max="9" width="11.44140625" style="56" customWidth="1"/>
    <col min="10" max="10" width="10" style="56" customWidth="1"/>
    <col min="11" max="11" width="11.88671875" style="56" customWidth="1"/>
    <col min="12" max="13" width="8.6640625" style="56" customWidth="1"/>
    <col min="14" max="14" width="14.88671875" style="56" customWidth="1"/>
    <col min="15" max="15" width="9.33203125" style="56" customWidth="1"/>
    <col min="16" max="16384" width="8.6640625" style="56"/>
  </cols>
  <sheetData>
    <row r="1" spans="1:14" ht="13.8">
      <c r="A1" s="48"/>
      <c r="B1" s="48"/>
      <c r="C1" s="42"/>
      <c r="D1" s="42"/>
      <c r="E1" s="42"/>
      <c r="F1" s="42"/>
      <c r="G1" s="42"/>
      <c r="H1" s="406" t="str">
        <f>+VN!G1</f>
        <v>Empresa:</v>
      </c>
      <c r="I1" s="407" t="str">
        <f>+Pressupostos!E1</f>
        <v>Flexible Energies</v>
      </c>
      <c r="J1" s="197"/>
    </row>
    <row r="2" spans="1:14">
      <c r="A2" s="48"/>
      <c r="B2" s="48"/>
      <c r="C2" s="48"/>
      <c r="D2" s="48"/>
      <c r="E2" s="48"/>
      <c r="F2" s="48"/>
      <c r="G2" s="48"/>
      <c r="H2" s="48"/>
      <c r="I2" s="48"/>
    </row>
    <row r="3" spans="1:14">
      <c r="A3" s="48"/>
      <c r="B3" s="48"/>
      <c r="C3" s="48"/>
      <c r="D3" s="48"/>
      <c r="E3" s="48"/>
      <c r="F3" s="48"/>
      <c r="G3" s="48"/>
      <c r="H3" s="48"/>
      <c r="I3" s="48"/>
    </row>
    <row r="4" spans="1:14" ht="15.6">
      <c r="A4" s="576" t="s">
        <v>295</v>
      </c>
      <c r="B4" s="576"/>
      <c r="C4" s="576"/>
      <c r="D4" s="576"/>
      <c r="E4" s="576"/>
      <c r="F4" s="576"/>
      <c r="G4" s="576"/>
      <c r="H4" s="576"/>
      <c r="I4" s="576"/>
    </row>
    <row r="5" spans="1:14">
      <c r="A5" s="48"/>
      <c r="B5" s="48"/>
      <c r="C5" s="48"/>
      <c r="D5" s="48"/>
      <c r="E5" s="48"/>
      <c r="F5" s="48"/>
      <c r="G5" s="48"/>
      <c r="H5" s="48"/>
      <c r="I5" s="48"/>
    </row>
    <row r="6" spans="1:14">
      <c r="A6" s="48"/>
      <c r="B6" s="48"/>
      <c r="C6" s="48"/>
      <c r="D6" s="48"/>
      <c r="E6" s="48"/>
      <c r="F6" s="48"/>
      <c r="G6" s="48"/>
      <c r="H6" s="48"/>
      <c r="I6" s="48"/>
    </row>
    <row r="7" spans="1:14" ht="13.8">
      <c r="A7" s="634" t="s">
        <v>473</v>
      </c>
      <c r="B7" s="635"/>
      <c r="C7" s="45">
        <f t="shared" ref="C7:I7" si="0">+C27</f>
        <v>2025</v>
      </c>
      <c r="D7" s="45">
        <f t="shared" si="0"/>
        <v>2026</v>
      </c>
      <c r="E7" s="45">
        <f t="shared" si="0"/>
        <v>2027</v>
      </c>
      <c r="F7" s="45">
        <f t="shared" si="0"/>
        <v>2028</v>
      </c>
      <c r="G7" s="45">
        <f t="shared" si="0"/>
        <v>2029</v>
      </c>
      <c r="H7" s="45">
        <f t="shared" si="0"/>
        <v>2030</v>
      </c>
      <c r="I7" s="45">
        <f t="shared" si="0"/>
        <v>2031</v>
      </c>
      <c r="K7" s="319"/>
      <c r="L7" s="319" t="s">
        <v>0</v>
      </c>
      <c r="M7" s="319" t="s">
        <v>1</v>
      </c>
      <c r="N7" s="319"/>
    </row>
    <row r="8" spans="1:14" ht="13.2" customHeight="1">
      <c r="A8" s="48"/>
      <c r="B8" s="48"/>
      <c r="C8" s="198"/>
      <c r="D8" s="198"/>
      <c r="E8" s="198"/>
      <c r="F8" s="198"/>
      <c r="G8" s="198"/>
      <c r="H8" s="198"/>
      <c r="I8" s="198"/>
      <c r="J8" s="642" t="s">
        <v>215</v>
      </c>
      <c r="K8" s="319" t="s">
        <v>17</v>
      </c>
      <c r="L8" s="320">
        <f>+C14</f>
        <v>-439896.14799999999</v>
      </c>
      <c r="M8" s="320">
        <f>+L8</f>
        <v>-439896.14799999999</v>
      </c>
      <c r="N8" s="321" t="b">
        <f t="shared" ref="N8:N13" si="1">IF(M8&gt;0,M8/L8*12)</f>
        <v>0</v>
      </c>
    </row>
    <row r="9" spans="1:14">
      <c r="A9" s="57" t="s">
        <v>87</v>
      </c>
      <c r="B9" s="63"/>
      <c r="C9" s="199">
        <f t="shared" ref="C9:H9" si="2">+C29</f>
        <v>-439896.14799999999</v>
      </c>
      <c r="D9" s="199">
        <f t="shared" si="2"/>
        <v>-181502.93139999988</v>
      </c>
      <c r="E9" s="199">
        <f t="shared" si="2"/>
        <v>-78893.550404800073</v>
      </c>
      <c r="F9" s="199">
        <f t="shared" si="2"/>
        <v>-28737.404449484835</v>
      </c>
      <c r="G9" s="199">
        <f t="shared" si="2"/>
        <v>38195.253543668834</v>
      </c>
      <c r="H9" s="199">
        <f t="shared" si="2"/>
        <v>104216.66434385837</v>
      </c>
      <c r="I9" s="505">
        <f>+N20</f>
        <v>1975588.5100282335</v>
      </c>
      <c r="J9" s="642"/>
      <c r="K9" s="319" t="s">
        <v>18</v>
      </c>
      <c r="L9" s="320">
        <f>+D14</f>
        <v>-181502.93139999988</v>
      </c>
      <c r="M9" s="320">
        <f>+M8+L9</f>
        <v>-621399.07939999993</v>
      </c>
      <c r="N9" s="322" t="b">
        <f t="shared" si="1"/>
        <v>0</v>
      </c>
    </row>
    <row r="10" spans="1:14">
      <c r="A10" s="165"/>
      <c r="B10" s="51"/>
      <c r="C10" s="200"/>
      <c r="D10" s="200"/>
      <c r="E10" s="200"/>
      <c r="F10" s="200"/>
      <c r="G10" s="200"/>
      <c r="H10" s="200"/>
      <c r="I10" s="371"/>
      <c r="J10" s="642"/>
      <c r="K10" s="319" t="s">
        <v>19</v>
      </c>
      <c r="L10" s="320">
        <f>+E14</f>
        <v>-78893.550404800073</v>
      </c>
      <c r="M10" s="320">
        <f>+M9+L10</f>
        <v>-700292.62980480003</v>
      </c>
      <c r="N10" s="322" t="b">
        <f t="shared" si="1"/>
        <v>0</v>
      </c>
    </row>
    <row r="11" spans="1:14">
      <c r="A11" s="479" t="s">
        <v>453</v>
      </c>
      <c r="B11" s="482"/>
      <c r="C11" s="481">
        <f>+C70</f>
        <v>0</v>
      </c>
      <c r="D11" s="481">
        <f t="shared" ref="D11:I11" si="3">+D70</f>
        <v>0</v>
      </c>
      <c r="E11" s="481">
        <f t="shared" si="3"/>
        <v>0</v>
      </c>
      <c r="F11" s="481">
        <f t="shared" si="3"/>
        <v>0</v>
      </c>
      <c r="G11" s="481">
        <f t="shared" si="3"/>
        <v>0</v>
      </c>
      <c r="H11" s="481">
        <f t="shared" si="3"/>
        <v>0</v>
      </c>
      <c r="I11" s="535">
        <f t="shared" si="3"/>
        <v>0</v>
      </c>
      <c r="K11" s="319" t="s">
        <v>20</v>
      </c>
      <c r="L11" s="320">
        <f>+F14</f>
        <v>-28737.404449484835</v>
      </c>
      <c r="M11" s="320">
        <f>+M10+L11</f>
        <v>-729030.03425428481</v>
      </c>
      <c r="N11" s="323" t="b">
        <f t="shared" si="1"/>
        <v>0</v>
      </c>
    </row>
    <row r="12" spans="1:14">
      <c r="A12" s="102" t="s">
        <v>296</v>
      </c>
      <c r="B12" s="202"/>
      <c r="C12" s="326">
        <v>1</v>
      </c>
      <c r="D12" s="204">
        <f>+C12*(1+D11)</f>
        <v>1</v>
      </c>
      <c r="E12" s="204">
        <f>+D12*(1+E11)</f>
        <v>1</v>
      </c>
      <c r="F12" s="204">
        <f>+E12*(1+F11)</f>
        <v>1</v>
      </c>
      <c r="G12" s="204">
        <f>+F12*(1+G11)</f>
        <v>1</v>
      </c>
      <c r="H12" s="204">
        <f>+G12*(1+H11)</f>
        <v>1</v>
      </c>
      <c r="I12" s="507">
        <f>+H12</f>
        <v>1</v>
      </c>
      <c r="K12" s="319" t="s">
        <v>21</v>
      </c>
      <c r="L12" s="320">
        <f>+G14</f>
        <v>38195.253543668834</v>
      </c>
      <c r="M12" s="320">
        <f>+M11+L12</f>
        <v>-690834.78071061592</v>
      </c>
      <c r="N12" s="323" t="b">
        <f t="shared" si="1"/>
        <v>0</v>
      </c>
    </row>
    <row r="13" spans="1:14">
      <c r="I13" s="376"/>
      <c r="K13" s="319" t="s">
        <v>22</v>
      </c>
      <c r="L13" s="320">
        <f>+H14</f>
        <v>104216.66434385837</v>
      </c>
      <c r="M13" s="320">
        <f>+M12+L13</f>
        <v>-586618.11636675755</v>
      </c>
      <c r="N13" s="323" t="b">
        <f t="shared" si="1"/>
        <v>0</v>
      </c>
    </row>
    <row r="14" spans="1:14">
      <c r="A14" s="57" t="s">
        <v>292</v>
      </c>
      <c r="B14" s="63"/>
      <c r="C14" s="199">
        <f t="shared" ref="C14:I14" si="4">+C9/C12</f>
        <v>-439896.14799999999</v>
      </c>
      <c r="D14" s="199">
        <f t="shared" si="4"/>
        <v>-181502.93139999988</v>
      </c>
      <c r="E14" s="199">
        <f>+E9/E12</f>
        <v>-78893.550404800073</v>
      </c>
      <c r="F14" s="199">
        <f t="shared" si="4"/>
        <v>-28737.404449484835</v>
      </c>
      <c r="G14" s="199">
        <f t="shared" si="4"/>
        <v>38195.253543668834</v>
      </c>
      <c r="H14" s="199">
        <f t="shared" si="4"/>
        <v>104216.66434385837</v>
      </c>
      <c r="I14" s="532">
        <f t="shared" si="4"/>
        <v>1975588.5100282335</v>
      </c>
    </row>
    <row r="15" spans="1:14">
      <c r="A15" s="48"/>
      <c r="B15" s="48"/>
      <c r="C15" s="206"/>
      <c r="D15" s="48"/>
      <c r="E15" s="48"/>
      <c r="F15" s="48"/>
      <c r="G15" s="198"/>
      <c r="H15" s="198"/>
      <c r="I15" s="506"/>
    </row>
    <row r="16" spans="1:14">
      <c r="A16" s="57" t="s">
        <v>297</v>
      </c>
      <c r="B16" s="63"/>
      <c r="C16" s="199">
        <f>+C14</f>
        <v>-439896.14799999999</v>
      </c>
      <c r="D16" s="199">
        <f>+C16+D14</f>
        <v>-621399.07939999993</v>
      </c>
      <c r="E16" s="199">
        <f>+D16+E14</f>
        <v>-700292.62980480003</v>
      </c>
      <c r="F16" s="199">
        <f>+E16+F14</f>
        <v>-729030.03425428481</v>
      </c>
      <c r="G16" s="199">
        <f>+F16+G14</f>
        <v>-690834.78071061592</v>
      </c>
      <c r="H16" s="199">
        <f>+G16+H14+I14</f>
        <v>1388970.393661476</v>
      </c>
      <c r="I16" s="532" t="s">
        <v>500</v>
      </c>
    </row>
    <row r="17" spans="1:15">
      <c r="A17" s="48"/>
      <c r="B17" s="48"/>
      <c r="C17" s="206"/>
      <c r="D17" s="48"/>
      <c r="E17" s="48"/>
      <c r="F17" s="48"/>
      <c r="G17" s="198"/>
      <c r="H17" s="198"/>
      <c r="I17" s="198"/>
      <c r="K17" s="448" t="s">
        <v>209</v>
      </c>
      <c r="L17" s="349"/>
    </row>
    <row r="18" spans="1:15" ht="13.2">
      <c r="A18" s="226" t="s">
        <v>290</v>
      </c>
      <c r="B18" s="227"/>
      <c r="C18" s="381" t="str">
        <f>+I16</f>
        <v>***</v>
      </c>
      <c r="D18" s="229"/>
      <c r="E18" s="230"/>
      <c r="F18" s="231"/>
      <c r="G18" s="232"/>
      <c r="H18" s="229"/>
      <c r="I18" s="229"/>
      <c r="K18" s="490" t="s">
        <v>468</v>
      </c>
      <c r="L18" s="351"/>
      <c r="M18" s="351"/>
      <c r="N18" s="350">
        <f>($H$9*(1+Pressupostos!$B$38))/(Avaliação!$I$11-Pressupostos!$B$38)</f>
        <v>-1042270860.1029274</v>
      </c>
    </row>
    <row r="19" spans="1:15">
      <c r="A19" s="48"/>
      <c r="B19" s="210"/>
      <c r="C19" s="198"/>
      <c r="D19" s="198"/>
      <c r="E19" s="198"/>
      <c r="F19" s="198"/>
      <c r="G19" s="198"/>
      <c r="H19" s="198"/>
      <c r="I19" s="198"/>
      <c r="K19" s="450" t="s">
        <v>210</v>
      </c>
      <c r="L19" s="233"/>
      <c r="M19" s="233"/>
      <c r="N19" s="329"/>
    </row>
    <row r="20" spans="1:15" ht="12.75" customHeight="1">
      <c r="A20" s="57" t="s">
        <v>291</v>
      </c>
      <c r="B20" s="63"/>
      <c r="C20" s="382">
        <f>IRR(C9:I9,0.1)</f>
        <v>0.21912823478005494</v>
      </c>
      <c r="D20" s="212"/>
      <c r="E20" s="212"/>
      <c r="F20" s="212"/>
      <c r="G20" s="212"/>
      <c r="H20" s="198"/>
      <c r="I20" s="198"/>
      <c r="K20" s="640" t="s">
        <v>501</v>
      </c>
      <c r="L20" s="640"/>
      <c r="M20" s="640"/>
      <c r="N20" s="637">
        <f>(+Balanço!$H$9+FundoManeio!$H$22)</f>
        <v>1975588.5100282335</v>
      </c>
    </row>
    <row r="21" spans="1:15">
      <c r="A21" s="48"/>
      <c r="B21" s="48"/>
      <c r="C21" s="327"/>
      <c r="D21" s="48"/>
      <c r="E21" s="48"/>
      <c r="F21" s="48"/>
      <c r="G21" s="48"/>
      <c r="H21" s="48"/>
      <c r="I21" s="48"/>
      <c r="K21" s="640"/>
      <c r="L21" s="640"/>
      <c r="M21" s="640"/>
      <c r="N21" s="638"/>
    </row>
    <row r="22" spans="1:15">
      <c r="A22" s="57" t="s">
        <v>439</v>
      </c>
      <c r="B22" s="370" t="s">
        <v>3</v>
      </c>
      <c r="C22" s="454">
        <f>COUNTIF(N8:N13,"falso")</f>
        <v>0</v>
      </c>
      <c r="D22" s="370" t="s">
        <v>443</v>
      </c>
      <c r="E22" s="383"/>
      <c r="F22" s="48"/>
      <c r="G22" s="48"/>
      <c r="H22" s="48"/>
      <c r="I22" s="48"/>
      <c r="J22" s="453" t="s">
        <v>451</v>
      </c>
      <c r="K22" s="453"/>
      <c r="L22" s="453"/>
      <c r="M22" s="453"/>
      <c r="N22" s="453"/>
      <c r="O22" s="453"/>
    </row>
    <row r="23" spans="1:15">
      <c r="A23" s="165"/>
      <c r="B23" s="51"/>
      <c r="C23" s="200"/>
      <c r="D23" s="371"/>
      <c r="E23" s="447" t="s">
        <v>440</v>
      </c>
      <c r="F23" s="200"/>
      <c r="G23" s="200"/>
      <c r="H23" s="200"/>
      <c r="I23" s="200"/>
    </row>
    <row r="24" spans="1:15">
      <c r="A24" s="328"/>
      <c r="B24" s="328"/>
      <c r="C24" s="328"/>
      <c r="D24" s="328"/>
      <c r="E24" s="328"/>
      <c r="F24" s="328"/>
      <c r="G24" s="328"/>
      <c r="H24" s="328"/>
      <c r="I24" s="328"/>
    </row>
    <row r="25" spans="1:15">
      <c r="A25" s="328"/>
      <c r="B25" s="328"/>
      <c r="C25" s="328"/>
      <c r="D25" s="328"/>
      <c r="E25" s="328"/>
      <c r="F25" s="328"/>
      <c r="G25" s="328"/>
      <c r="H25" s="328"/>
      <c r="I25" s="328"/>
    </row>
    <row r="26" spans="1:15">
      <c r="A26" s="165"/>
      <c r="B26" s="51"/>
      <c r="C26" s="200"/>
      <c r="D26" s="200"/>
      <c r="E26" s="200"/>
      <c r="F26" s="200"/>
      <c r="G26" s="200"/>
      <c r="H26" s="200"/>
      <c r="I26" s="200"/>
    </row>
    <row r="27" spans="1:15" ht="24.6" customHeight="1">
      <c r="A27" s="641" t="s">
        <v>502</v>
      </c>
      <c r="B27" s="635"/>
      <c r="C27" s="45">
        <f>+VN!C8</f>
        <v>2025</v>
      </c>
      <c r="D27" s="45">
        <f>+VN!D8</f>
        <v>2026</v>
      </c>
      <c r="E27" s="45">
        <f>+VN!E8</f>
        <v>2027</v>
      </c>
      <c r="F27" s="45">
        <f>+VN!F8</f>
        <v>2028</v>
      </c>
      <c r="G27" s="45">
        <f>+VN!G8</f>
        <v>2029</v>
      </c>
      <c r="H27" s="45">
        <f>+VN!H8</f>
        <v>2030</v>
      </c>
      <c r="I27" s="45">
        <f>+H27+1</f>
        <v>2031</v>
      </c>
      <c r="K27" s="319"/>
      <c r="L27" s="319" t="s">
        <v>0</v>
      </c>
      <c r="M27" s="319" t="s">
        <v>1</v>
      </c>
      <c r="N27" s="319"/>
    </row>
    <row r="28" spans="1:15">
      <c r="A28" s="48"/>
      <c r="B28" s="48"/>
      <c r="C28" s="198"/>
      <c r="D28" s="198"/>
      <c r="E28" s="198"/>
      <c r="F28" s="198"/>
      <c r="G28" s="198"/>
      <c r="H28" s="198"/>
      <c r="I28" s="198"/>
      <c r="J28" s="642" t="s">
        <v>215</v>
      </c>
      <c r="K28" s="319" t="s">
        <v>17</v>
      </c>
      <c r="L28" s="320">
        <f>+C34</f>
        <v>-439896.14799999999</v>
      </c>
      <c r="M28" s="320">
        <f>+L28</f>
        <v>-439896.14799999999</v>
      </c>
      <c r="N28" s="321" t="b">
        <f t="shared" ref="N28:N33" si="5">IF(M28&gt;0,M28/L28*12)</f>
        <v>0</v>
      </c>
    </row>
    <row r="29" spans="1:15">
      <c r="A29" s="57" t="s">
        <v>87</v>
      </c>
      <c r="B29" s="63"/>
      <c r="C29" s="199">
        <f>+'Cash Flow'!C21</f>
        <v>-439896.14799999999</v>
      </c>
      <c r="D29" s="199">
        <f>+'Cash Flow'!D21</f>
        <v>-181502.93139999988</v>
      </c>
      <c r="E29" s="199">
        <f>+'Cash Flow'!E21</f>
        <v>-78893.550404800073</v>
      </c>
      <c r="F29" s="199">
        <f>+'Cash Flow'!F21</f>
        <v>-28737.404449484835</v>
      </c>
      <c r="G29" s="199">
        <f>+'Cash Flow'!G21</f>
        <v>38195.253543668834</v>
      </c>
      <c r="H29" s="199">
        <f>+'Cash Flow'!H21</f>
        <v>104216.66434385837</v>
      </c>
      <c r="I29" s="505">
        <f>+N39</f>
        <v>1975588.5100282335</v>
      </c>
      <c r="J29" s="642"/>
      <c r="K29" s="319" t="s">
        <v>18</v>
      </c>
      <c r="L29" s="320">
        <f>+D34</f>
        <v>-181502.93139999988</v>
      </c>
      <c r="M29" s="320">
        <f>+M28+L29</f>
        <v>-621399.07939999993</v>
      </c>
      <c r="N29" s="322" t="b">
        <f t="shared" si="5"/>
        <v>0</v>
      </c>
    </row>
    <row r="30" spans="1:15">
      <c r="A30" s="165"/>
      <c r="B30" s="51"/>
      <c r="C30" s="200"/>
      <c r="D30" s="200"/>
      <c r="E30" s="200"/>
      <c r="F30" s="200"/>
      <c r="G30" s="200"/>
      <c r="H30" s="200"/>
      <c r="I30" s="200"/>
      <c r="J30" s="642"/>
      <c r="K30" s="319" t="s">
        <v>19</v>
      </c>
      <c r="L30" s="320">
        <f>+E34</f>
        <v>-78893.550404800073</v>
      </c>
      <c r="M30" s="320">
        <f>+M29+L30</f>
        <v>-700292.62980480003</v>
      </c>
      <c r="N30" s="322" t="b">
        <f t="shared" si="5"/>
        <v>0</v>
      </c>
    </row>
    <row r="31" spans="1:15">
      <c r="A31" s="480" t="s">
        <v>464</v>
      </c>
      <c r="B31" s="478"/>
      <c r="C31" s="481">
        <f t="shared" ref="C31:H31" si="6">+C88</f>
        <v>0</v>
      </c>
      <c r="D31" s="481">
        <f t="shared" si="6"/>
        <v>0</v>
      </c>
      <c r="E31" s="481">
        <f t="shared" si="6"/>
        <v>0</v>
      </c>
      <c r="F31" s="481">
        <f t="shared" si="6"/>
        <v>0</v>
      </c>
      <c r="G31" s="481">
        <f t="shared" si="6"/>
        <v>0</v>
      </c>
      <c r="H31" s="481">
        <f t="shared" si="6"/>
        <v>0</v>
      </c>
      <c r="I31" s="507">
        <f>+H31</f>
        <v>0</v>
      </c>
      <c r="K31" s="319" t="s">
        <v>20</v>
      </c>
      <c r="L31" s="320">
        <f>+F34</f>
        <v>-28737.404449484835</v>
      </c>
      <c r="M31" s="320">
        <f>+M30+L31</f>
        <v>-729030.03425428481</v>
      </c>
      <c r="N31" s="323" t="b">
        <f t="shared" si="5"/>
        <v>0</v>
      </c>
    </row>
    <row r="32" spans="1:15">
      <c r="A32" s="380" t="s">
        <v>296</v>
      </c>
      <c r="B32" s="201"/>
      <c r="C32" s="456">
        <v>1</v>
      </c>
      <c r="D32" s="456">
        <f>+C32*(1+D31)</f>
        <v>1</v>
      </c>
      <c r="E32" s="456">
        <f>+D32*(1+E31)</f>
        <v>1</v>
      </c>
      <c r="F32" s="456">
        <f>+E32*(1+F31)</f>
        <v>1</v>
      </c>
      <c r="G32" s="456">
        <f>+F32*(1+G31)</f>
        <v>1</v>
      </c>
      <c r="H32" s="456">
        <f>+G32*(1+H31)</f>
        <v>1</v>
      </c>
      <c r="I32" s="507">
        <f>+H32</f>
        <v>1</v>
      </c>
      <c r="K32" s="319" t="s">
        <v>21</v>
      </c>
      <c r="L32" s="320">
        <f>+G34</f>
        <v>38195.253543668834</v>
      </c>
      <c r="M32" s="320">
        <f>+M31+L32</f>
        <v>-690834.78071061592</v>
      </c>
      <c r="N32" s="323" t="b">
        <f t="shared" si="5"/>
        <v>0</v>
      </c>
    </row>
    <row r="33" spans="1:15">
      <c r="A33" s="48"/>
      <c r="B33" s="205"/>
      <c r="C33" s="205"/>
      <c r="D33" s="205"/>
      <c r="E33" s="205"/>
      <c r="F33" s="205"/>
      <c r="G33" s="205"/>
      <c r="H33" s="205"/>
      <c r="I33" s="205"/>
      <c r="K33" s="319" t="s">
        <v>22</v>
      </c>
      <c r="L33" s="320">
        <f>+H34</f>
        <v>104216.66434385837</v>
      </c>
      <c r="M33" s="320">
        <f>+M32+L33</f>
        <v>-586618.11636675755</v>
      </c>
      <c r="N33" s="323" t="b">
        <f t="shared" si="5"/>
        <v>0</v>
      </c>
    </row>
    <row r="34" spans="1:15">
      <c r="A34" s="57" t="s">
        <v>292</v>
      </c>
      <c r="B34" s="63"/>
      <c r="C34" s="199">
        <f t="shared" ref="C34:H34" si="7">+C29/C32</f>
        <v>-439896.14799999999</v>
      </c>
      <c r="D34" s="199">
        <f t="shared" si="7"/>
        <v>-181502.93139999988</v>
      </c>
      <c r="E34" s="199">
        <f t="shared" si="7"/>
        <v>-78893.550404800073</v>
      </c>
      <c r="F34" s="199">
        <f t="shared" si="7"/>
        <v>-28737.404449484835</v>
      </c>
      <c r="G34" s="199">
        <f t="shared" si="7"/>
        <v>38195.253543668834</v>
      </c>
      <c r="H34" s="199">
        <f t="shared" si="7"/>
        <v>104216.66434385837</v>
      </c>
      <c r="I34" s="532">
        <f>+I29/I32</f>
        <v>1975588.5100282335</v>
      </c>
    </row>
    <row r="35" spans="1:15">
      <c r="A35" s="48"/>
      <c r="B35" s="48"/>
      <c r="C35" s="206"/>
      <c r="D35" s="48"/>
      <c r="E35" s="48"/>
      <c r="F35" s="48"/>
      <c r="G35" s="198"/>
      <c r="H35" s="198"/>
      <c r="I35" s="198"/>
    </row>
    <row r="36" spans="1:15">
      <c r="A36" s="57" t="s">
        <v>297</v>
      </c>
      <c r="B36" s="63"/>
      <c r="C36" s="199">
        <f>+C34</f>
        <v>-439896.14799999999</v>
      </c>
      <c r="D36" s="199">
        <f>+SUM($C$34:D34)</f>
        <v>-621399.07939999993</v>
      </c>
      <c r="E36" s="199">
        <f>+SUM($C$34:E34)</f>
        <v>-700292.62980480003</v>
      </c>
      <c r="F36" s="199">
        <f>+SUM($C$34:F34)</f>
        <v>-729030.03425428481</v>
      </c>
      <c r="G36" s="199">
        <f>+SUM($C$34:G34)</f>
        <v>-690834.78071061592</v>
      </c>
      <c r="H36" s="199">
        <f>+SUM($C$34:H34)+I34</f>
        <v>1388970.393661476</v>
      </c>
      <c r="I36" s="532" t="s">
        <v>500</v>
      </c>
      <c r="K36" s="448" t="s">
        <v>209</v>
      </c>
      <c r="L36" s="349"/>
    </row>
    <row r="37" spans="1:15" ht="13.2">
      <c r="A37" s="48"/>
      <c r="B37" s="48"/>
      <c r="C37" s="206"/>
      <c r="D37" s="48"/>
      <c r="E37" s="48"/>
      <c r="F37" s="48"/>
      <c r="G37" s="198"/>
      <c r="H37" s="198"/>
      <c r="I37" s="198"/>
      <c r="K37" s="490" t="s">
        <v>468</v>
      </c>
      <c r="L37" s="351"/>
      <c r="M37" s="351"/>
      <c r="N37" s="350">
        <f>($H$29*(1+Pressupostos!$B$38))/(Avaliação!$I$31-Pressupostos!$B$38)</f>
        <v>-1042270860.1029274</v>
      </c>
    </row>
    <row r="38" spans="1:15" s="233" customFormat="1">
      <c r="A38" s="226" t="s">
        <v>290</v>
      </c>
      <c r="B38" s="227"/>
      <c r="C38" s="228" t="str">
        <f>+I36</f>
        <v>***</v>
      </c>
      <c r="D38" s="229"/>
      <c r="E38" s="230"/>
      <c r="F38" s="231"/>
      <c r="G38" s="232"/>
      <c r="H38" s="229"/>
      <c r="I38" s="229"/>
      <c r="K38" s="324" t="s">
        <v>210</v>
      </c>
      <c r="N38" s="329"/>
    </row>
    <row r="39" spans="1:15" ht="12.75" customHeight="1">
      <c r="A39" s="48"/>
      <c r="B39" s="210"/>
      <c r="C39" s="198"/>
      <c r="D39" s="198"/>
      <c r="E39" s="198"/>
      <c r="F39" s="198"/>
      <c r="G39" s="198"/>
      <c r="H39" s="198"/>
      <c r="I39" s="198"/>
      <c r="K39" s="636" t="s">
        <v>450</v>
      </c>
      <c r="L39" s="636"/>
      <c r="M39" s="636"/>
      <c r="N39" s="637">
        <f>(+Balanço!$H$9+FundoManeio!$H$22)</f>
        <v>1975588.5100282335</v>
      </c>
    </row>
    <row r="40" spans="1:15">
      <c r="A40" s="57" t="s">
        <v>291</v>
      </c>
      <c r="B40" s="63"/>
      <c r="C40" s="211">
        <f>IRR(C29:I29,0.1)</f>
        <v>0.21912823478005494</v>
      </c>
      <c r="D40" s="212"/>
      <c r="E40" s="212"/>
      <c r="F40" s="212"/>
      <c r="G40" s="212"/>
      <c r="H40" s="198"/>
      <c r="I40" s="198"/>
      <c r="K40" s="636"/>
      <c r="L40" s="636"/>
      <c r="M40" s="636"/>
      <c r="N40" s="638"/>
    </row>
    <row r="41" spans="1:15">
      <c r="A41" s="48"/>
      <c r="B41" s="48"/>
      <c r="C41" s="48"/>
      <c r="D41" s="48"/>
      <c r="E41" s="48"/>
      <c r="F41" s="48"/>
      <c r="G41" s="48"/>
      <c r="H41" s="48"/>
      <c r="I41" s="48"/>
    </row>
    <row r="42" spans="1:15">
      <c r="A42" s="57" t="s">
        <v>439</v>
      </c>
      <c r="B42" s="63" t="s">
        <v>3</v>
      </c>
      <c r="C42" s="454">
        <f>COUNTIF(N28:N33,"falso")</f>
        <v>0</v>
      </c>
      <c r="D42" s="370" t="s">
        <v>443</v>
      </c>
      <c r="E42" s="383"/>
      <c r="F42" s="48"/>
      <c r="G42" s="48"/>
      <c r="H42" s="48"/>
      <c r="I42" s="48"/>
      <c r="J42" s="453" t="s">
        <v>451</v>
      </c>
      <c r="K42" s="453"/>
      <c r="L42" s="453"/>
      <c r="M42" s="453"/>
      <c r="N42" s="453"/>
      <c r="O42" s="453"/>
    </row>
    <row r="43" spans="1:15">
      <c r="A43" s="48"/>
      <c r="B43" s="48"/>
      <c r="C43" s="48"/>
      <c r="D43" s="200"/>
      <c r="E43" s="447" t="s">
        <v>440</v>
      </c>
      <c r="F43" s="48"/>
      <c r="G43" s="48"/>
      <c r="H43" s="48"/>
      <c r="I43" s="48"/>
    </row>
    <row r="44" spans="1:15">
      <c r="A44" s="328"/>
      <c r="B44" s="328"/>
      <c r="C44" s="328"/>
      <c r="D44" s="328"/>
      <c r="E44" s="328"/>
      <c r="F44" s="328"/>
      <c r="G44" s="328"/>
      <c r="H44" s="328"/>
      <c r="I44" s="328"/>
    </row>
    <row r="45" spans="1:15">
      <c r="A45" s="328"/>
      <c r="B45" s="328"/>
      <c r="C45" s="328"/>
      <c r="D45" s="328"/>
      <c r="E45" s="328"/>
      <c r="F45" s="328"/>
      <c r="G45" s="328"/>
      <c r="H45" s="328"/>
      <c r="I45" s="328"/>
    </row>
    <row r="46" spans="1:15">
      <c r="A46" s="48"/>
      <c r="B46" s="48"/>
      <c r="C46" s="48"/>
      <c r="D46" s="48"/>
      <c r="E46" s="48"/>
      <c r="F46" s="48"/>
      <c r="G46" s="48"/>
      <c r="H46" s="48"/>
      <c r="I46" s="48"/>
    </row>
    <row r="47" spans="1:15" ht="13.8">
      <c r="A47" s="634" t="s">
        <v>469</v>
      </c>
      <c r="B47" s="635"/>
      <c r="C47" s="45">
        <f>+VN!C8</f>
        <v>2025</v>
      </c>
      <c r="D47" s="45">
        <f>+VN!D8</f>
        <v>2026</v>
      </c>
      <c r="E47" s="45">
        <f>+VN!E8</f>
        <v>2027</v>
      </c>
      <c r="F47" s="45">
        <f>+VN!F8</f>
        <v>2028</v>
      </c>
      <c r="G47" s="45">
        <f>+VN!G8</f>
        <v>2029</v>
      </c>
      <c r="H47" s="45">
        <f>+VN!H8</f>
        <v>2030</v>
      </c>
      <c r="I47" s="45">
        <f>H47+1</f>
        <v>2031</v>
      </c>
      <c r="K47" s="319"/>
      <c r="L47" s="319" t="s">
        <v>0</v>
      </c>
      <c r="M47" s="319" t="s">
        <v>1</v>
      </c>
      <c r="N47" s="319"/>
    </row>
    <row r="48" spans="1:15" ht="13.2" customHeight="1">
      <c r="A48" s="48"/>
      <c r="B48" s="48"/>
      <c r="C48" s="198"/>
      <c r="D48" s="198"/>
      <c r="E48" s="198"/>
      <c r="F48" s="198"/>
      <c r="G48" s="198"/>
      <c r="H48" s="198"/>
      <c r="I48" s="198"/>
      <c r="J48" s="642" t="s">
        <v>215</v>
      </c>
      <c r="K48" s="319" t="s">
        <v>17</v>
      </c>
      <c r="L48" s="320">
        <f>+C54</f>
        <v>-80404.992870999995</v>
      </c>
      <c r="M48" s="320">
        <f>+L48</f>
        <v>-80404.992870999995</v>
      </c>
      <c r="N48" s="321" t="b">
        <f t="shared" ref="N48:N53" si="8">IF(M48&gt;0,M48/L48*12)</f>
        <v>0</v>
      </c>
    </row>
    <row r="49" spans="1:15">
      <c r="A49" s="57" t="s">
        <v>454</v>
      </c>
      <c r="B49" s="63"/>
      <c r="C49" s="199">
        <f>+'Cash Flow'!C21+PlanoFinanceiro!C12-PlanoFinanceiro!C23-DR!B28*(1-Pressupostos!$B$29)</f>
        <v>-80404.992870999995</v>
      </c>
      <c r="D49" s="199">
        <f>+'Cash Flow'!D21+PlanoFinanceiro!D12-PlanoFinanceiro!D23-DR!C28*(1-Pressupostos!$B$29)</f>
        <v>-132016.00876045108</v>
      </c>
      <c r="E49" s="199">
        <f>+'Cash Flow'!E21+PlanoFinanceiro!E12-PlanoFinanceiro!E23-DR!D28*(1-Pressupostos!$B$29)</f>
        <v>-165344.40296525127</v>
      </c>
      <c r="F49" s="199">
        <f>+'Cash Flow'!F21+PlanoFinanceiro!F12-PlanoFinanceiro!F23-DR!E28*(1-Pressupostos!$B$29)</f>
        <v>-125441.70307573603</v>
      </c>
      <c r="G49" s="199">
        <f>+'Cash Flow'!G21+PlanoFinanceiro!G12-PlanoFinanceiro!G23-DR!F28*(1-Pressupostos!$B$29)</f>
        <v>-56024.264570492131</v>
      </c>
      <c r="H49" s="199">
        <f>+'Cash Flow'!H21+PlanoFinanceiro!H12-PlanoFinanceiro!H23-DR!G28*(1-Pressupostos!$B$29)</f>
        <v>12481.926741787647</v>
      </c>
      <c r="I49" s="505">
        <f>+N60</f>
        <v>1573330.103532807</v>
      </c>
      <c r="J49" s="642"/>
      <c r="K49" s="319" t="s">
        <v>18</v>
      </c>
      <c r="L49" s="320">
        <f>+D54</f>
        <v>-132016.00876045108</v>
      </c>
      <c r="M49" s="320">
        <f>+M48+L49</f>
        <v>-212421.00163145107</v>
      </c>
      <c r="N49" s="325" t="b">
        <f t="shared" si="8"/>
        <v>0</v>
      </c>
    </row>
    <row r="50" spans="1:15">
      <c r="A50" s="48"/>
      <c r="B50" s="205"/>
      <c r="C50" s="205"/>
      <c r="D50" s="205"/>
      <c r="E50" s="205"/>
      <c r="F50" s="205"/>
      <c r="G50" s="205"/>
      <c r="H50" s="205"/>
      <c r="I50" s="205"/>
      <c r="J50" s="642"/>
      <c r="K50" s="319" t="s">
        <v>19</v>
      </c>
      <c r="L50" s="320">
        <f>+E54</f>
        <v>-165344.40296525127</v>
      </c>
      <c r="M50" s="320">
        <f>+M49+L50</f>
        <v>-377765.40459670231</v>
      </c>
      <c r="N50" s="325" t="b">
        <f t="shared" si="8"/>
        <v>0</v>
      </c>
    </row>
    <row r="51" spans="1:15">
      <c r="A51" s="480" t="s">
        <v>472</v>
      </c>
      <c r="B51" s="488"/>
      <c r="C51" s="489">
        <f>+C70</f>
        <v>0</v>
      </c>
      <c r="D51" s="489">
        <f t="shared" ref="D51:I51" si="9">+D70</f>
        <v>0</v>
      </c>
      <c r="E51" s="489">
        <f t="shared" si="9"/>
        <v>0</v>
      </c>
      <c r="F51" s="489">
        <f t="shared" si="9"/>
        <v>0</v>
      </c>
      <c r="G51" s="489">
        <f t="shared" si="9"/>
        <v>0</v>
      </c>
      <c r="H51" s="489">
        <f t="shared" si="9"/>
        <v>0</v>
      </c>
      <c r="I51" s="489">
        <f t="shared" si="9"/>
        <v>0</v>
      </c>
      <c r="K51" s="319" t="s">
        <v>20</v>
      </c>
      <c r="L51" s="320">
        <f>+F54</f>
        <v>-125441.70307573603</v>
      </c>
      <c r="M51" s="320">
        <f>+M50+L51</f>
        <v>-503207.10767243837</v>
      </c>
      <c r="N51" s="323" t="b">
        <f t="shared" si="8"/>
        <v>0</v>
      </c>
    </row>
    <row r="52" spans="1:15">
      <c r="A52" s="82" t="s">
        <v>296</v>
      </c>
      <c r="B52" s="201"/>
      <c r="C52" s="203">
        <v>1</v>
      </c>
      <c r="D52" s="204">
        <f>+C52*(1+D51)</f>
        <v>1</v>
      </c>
      <c r="E52" s="204">
        <f>+D52*(1+E51)</f>
        <v>1</v>
      </c>
      <c r="F52" s="204">
        <f>+E52*(1+F51)</f>
        <v>1</v>
      </c>
      <c r="G52" s="204">
        <f>+F52*(1+G51)</f>
        <v>1</v>
      </c>
      <c r="H52" s="204">
        <f>+G52*(1+H51)</f>
        <v>1</v>
      </c>
      <c r="I52" s="507">
        <f>+H52</f>
        <v>1</v>
      </c>
      <c r="K52" s="319" t="s">
        <v>21</v>
      </c>
      <c r="L52" s="320">
        <f>+G54</f>
        <v>-56024.264570492131</v>
      </c>
      <c r="M52" s="320">
        <f>+M51+L52</f>
        <v>-559231.37224293046</v>
      </c>
      <c r="N52" s="323" t="b">
        <f t="shared" si="8"/>
        <v>0</v>
      </c>
    </row>
    <row r="53" spans="1:15">
      <c r="A53" s="48"/>
      <c r="B53" s="205"/>
      <c r="C53" s="214"/>
      <c r="D53" s="215"/>
      <c r="E53" s="215"/>
      <c r="F53" s="215"/>
      <c r="G53" s="215"/>
      <c r="H53" s="215"/>
      <c r="I53" s="215"/>
      <c r="K53" s="319" t="s">
        <v>22</v>
      </c>
      <c r="L53" s="320">
        <f>+H54</f>
        <v>12481.926741787647</v>
      </c>
      <c r="M53" s="320">
        <f>+M52+L53</f>
        <v>-546749.44550114276</v>
      </c>
      <c r="N53" s="323" t="b">
        <f t="shared" si="8"/>
        <v>0</v>
      </c>
    </row>
    <row r="54" spans="1:15">
      <c r="A54" s="57" t="s">
        <v>292</v>
      </c>
      <c r="B54" s="63"/>
      <c r="C54" s="199">
        <f t="shared" ref="C54:I54" si="10">+C49/C52</f>
        <v>-80404.992870999995</v>
      </c>
      <c r="D54" s="199">
        <f t="shared" si="10"/>
        <v>-132016.00876045108</v>
      </c>
      <c r="E54" s="199">
        <f t="shared" si="10"/>
        <v>-165344.40296525127</v>
      </c>
      <c r="F54" s="199">
        <f t="shared" si="10"/>
        <v>-125441.70307573603</v>
      </c>
      <c r="G54" s="199">
        <f t="shared" si="10"/>
        <v>-56024.264570492131</v>
      </c>
      <c r="H54" s="199">
        <f t="shared" si="10"/>
        <v>12481.926741787647</v>
      </c>
      <c r="I54" s="199">
        <f t="shared" si="10"/>
        <v>1573330.103532807</v>
      </c>
    </row>
    <row r="55" spans="1:15">
      <c r="A55" s="165"/>
      <c r="B55" s="51"/>
      <c r="C55" s="200"/>
      <c r="D55" s="200"/>
      <c r="E55" s="200"/>
      <c r="F55" s="200"/>
      <c r="G55" s="200"/>
      <c r="H55" s="200"/>
      <c r="I55" s="200"/>
    </row>
    <row r="56" spans="1:15">
      <c r="A56" s="57" t="s">
        <v>297</v>
      </c>
      <c r="B56" s="63"/>
      <c r="C56" s="199">
        <f>+C54</f>
        <v>-80404.992870999995</v>
      </c>
      <c r="D56" s="199">
        <f>+SUM($C$54:D54)</f>
        <v>-212421.00163145107</v>
      </c>
      <c r="E56" s="199">
        <f>+SUM($C$54:E54)</f>
        <v>-377765.40459670231</v>
      </c>
      <c r="F56" s="199">
        <f>+SUM($C$54:F54)</f>
        <v>-503207.10767243837</v>
      </c>
      <c r="G56" s="199">
        <f>+SUM($C$54:G54)</f>
        <v>-559231.37224293046</v>
      </c>
      <c r="H56" s="199">
        <f>+SUM($C$54:H54)</f>
        <v>-546749.44550114276</v>
      </c>
      <c r="I56" s="199">
        <f>+SUM($C$54:I54)</f>
        <v>1026580.6580316642</v>
      </c>
    </row>
    <row r="57" spans="1:15">
      <c r="A57" s="48"/>
      <c r="B57" s="48"/>
      <c r="C57" s="206"/>
      <c r="D57" s="48"/>
      <c r="E57" s="48"/>
      <c r="F57" s="48"/>
      <c r="G57" s="198"/>
      <c r="H57" s="198"/>
      <c r="I57" s="198"/>
      <c r="K57" s="448" t="s">
        <v>209</v>
      </c>
      <c r="L57" s="349"/>
    </row>
    <row r="58" spans="1:15" ht="13.2">
      <c r="A58" s="57" t="s">
        <v>290</v>
      </c>
      <c r="B58" s="63"/>
      <c r="C58" s="199">
        <f>I56</f>
        <v>1026580.6580316642</v>
      </c>
      <c r="D58" s="198"/>
      <c r="E58" s="445" t="s">
        <v>294</v>
      </c>
      <c r="F58" s="208"/>
      <c r="G58" s="209"/>
      <c r="H58" s="207"/>
      <c r="I58" s="207"/>
      <c r="K58" s="449" t="s">
        <v>449</v>
      </c>
      <c r="L58" s="351"/>
      <c r="M58" s="351"/>
      <c r="N58" s="350">
        <f>+($H$49*(1+Pressupostos!$B$38))/($I$51-Pressupostos!$B$38)</f>
        <v>-124831749.34461825</v>
      </c>
    </row>
    <row r="59" spans="1:15">
      <c r="A59" s="48"/>
      <c r="B59" s="210"/>
      <c r="C59" s="198"/>
      <c r="D59" s="198"/>
      <c r="E59" s="198"/>
      <c r="F59" s="198"/>
      <c r="G59" s="198"/>
      <c r="H59" s="198"/>
      <c r="I59" s="198"/>
      <c r="K59" s="450" t="s">
        <v>210</v>
      </c>
      <c r="L59" s="233"/>
      <c r="M59" s="233"/>
      <c r="N59" s="329"/>
    </row>
    <row r="60" spans="1:15">
      <c r="A60" s="57" t="s">
        <v>291</v>
      </c>
      <c r="B60" s="63"/>
      <c r="C60" s="211">
        <f>IRR(C49:I49,0.1)</f>
        <v>0.27699887123317324</v>
      </c>
      <c r="D60" s="212"/>
      <c r="E60" s="212"/>
      <c r="F60" s="212"/>
      <c r="G60" s="212"/>
      <c r="H60" s="198"/>
      <c r="I60" s="198"/>
      <c r="K60" s="639" t="s">
        <v>452</v>
      </c>
      <c r="L60" s="636"/>
      <c r="M60" s="636"/>
      <c r="N60" s="637">
        <f>+Balanço!H33/(H52*(1+I51))</f>
        <v>1573330.103532807</v>
      </c>
    </row>
    <row r="61" spans="1:15">
      <c r="A61" s="48"/>
      <c r="B61" s="48"/>
      <c r="C61" s="212"/>
      <c r="D61" s="212"/>
      <c r="E61" s="212"/>
      <c r="F61" s="212"/>
      <c r="G61" s="212"/>
      <c r="H61" s="198"/>
      <c r="I61" s="198"/>
      <c r="J61" s="216"/>
      <c r="K61" s="636"/>
      <c r="L61" s="636"/>
      <c r="M61" s="636"/>
      <c r="N61" s="638"/>
    </row>
    <row r="62" spans="1:15">
      <c r="A62" s="57" t="s">
        <v>439</v>
      </c>
      <c r="B62" s="370" t="s">
        <v>3</v>
      </c>
      <c r="C62" s="454">
        <f>COUNTIF(N48:N53,"falso")</f>
        <v>0</v>
      </c>
      <c r="D62" s="370" t="s">
        <v>443</v>
      </c>
      <c r="E62" s="383"/>
      <c r="F62" s="212"/>
      <c r="G62" s="212"/>
      <c r="H62" s="198"/>
      <c r="I62" s="198"/>
      <c r="J62" s="216"/>
    </row>
    <row r="63" spans="1:15" ht="10.199999999999999" customHeight="1">
      <c r="A63" s="48"/>
      <c r="B63" s="48"/>
      <c r="C63" s="48"/>
      <c r="D63" s="200"/>
      <c r="E63" s="447" t="s">
        <v>440</v>
      </c>
      <c r="F63" s="48"/>
      <c r="G63" s="48"/>
      <c r="H63" s="48"/>
      <c r="I63" s="48"/>
      <c r="J63" s="453" t="s">
        <v>451</v>
      </c>
      <c r="K63" s="453"/>
      <c r="L63" s="453"/>
      <c r="M63" s="453"/>
      <c r="N63" s="453"/>
      <c r="O63" s="453"/>
    </row>
    <row r="64" spans="1:15" ht="10.199999999999999" customHeight="1">
      <c r="A64" s="48"/>
      <c r="B64" s="48"/>
      <c r="C64" s="48"/>
      <c r="D64" s="200"/>
      <c r="E64" s="447"/>
      <c r="F64" s="48"/>
      <c r="G64" s="48"/>
      <c r="H64" s="48"/>
      <c r="I64" s="48"/>
      <c r="J64" s="453"/>
      <c r="K64" s="453"/>
      <c r="L64" s="453"/>
      <c r="M64" s="453"/>
      <c r="N64" s="453"/>
      <c r="O64" s="453"/>
    </row>
    <row r="65" spans="1:15" ht="10.199999999999999" customHeight="1">
      <c r="A65" s="48"/>
      <c r="B65" s="48"/>
      <c r="C65" s="48"/>
      <c r="D65" s="200"/>
      <c r="E65" s="447"/>
      <c r="F65" s="48"/>
      <c r="G65" s="48"/>
      <c r="H65" s="48"/>
      <c r="I65" s="48"/>
      <c r="J65" s="453"/>
      <c r="K65" s="453"/>
      <c r="L65" s="453"/>
      <c r="M65" s="453"/>
      <c r="N65" s="453"/>
      <c r="O65" s="453"/>
    </row>
    <row r="66" spans="1:15" ht="15.6">
      <c r="A66" s="483" t="s">
        <v>455</v>
      </c>
      <c r="B66" s="484"/>
      <c r="C66" s="484"/>
      <c r="D66" s="485"/>
      <c r="E66" s="486"/>
      <c r="F66" s="484"/>
      <c r="G66" s="484"/>
      <c r="H66" s="484"/>
      <c r="I66" s="484"/>
    </row>
    <row r="67" spans="1:15" ht="13.2">
      <c r="A67" s="474" t="s">
        <v>474</v>
      </c>
      <c r="B67" s="48"/>
      <c r="C67" s="48"/>
      <c r="D67" s="200"/>
      <c r="E67" s="447"/>
      <c r="F67" s="48"/>
      <c r="G67" s="48"/>
      <c r="H67" s="48"/>
      <c r="I67" s="48"/>
      <c r="J67" s="216"/>
      <c r="N67" s="217"/>
    </row>
    <row r="68" spans="1:15">
      <c r="A68" s="82" t="s">
        <v>298</v>
      </c>
      <c r="B68" s="201"/>
      <c r="C68" s="457">
        <f>+Pressupostos!B35</f>
        <v>0</v>
      </c>
      <c r="D68" s="458">
        <f>+C68*(1+VN!D$9)</f>
        <v>0</v>
      </c>
      <c r="E68" s="458">
        <f>+D68*(1+VN!E$9)</f>
        <v>0</v>
      </c>
      <c r="F68" s="458">
        <f>+E68*(1+VN!F$9)</f>
        <v>0</v>
      </c>
      <c r="G68" s="458">
        <f>+F68*(1+VN!G$9)</f>
        <v>0</v>
      </c>
      <c r="H68" s="458">
        <f>+G68*(1+VN!H$9)</f>
        <v>0</v>
      </c>
      <c r="I68" s="533">
        <f>+H68</f>
        <v>0</v>
      </c>
      <c r="J68" s="216"/>
      <c r="N68" s="217"/>
    </row>
    <row r="69" spans="1:15">
      <c r="A69" s="82" t="s">
        <v>299</v>
      </c>
      <c r="B69" s="201"/>
      <c r="C69" s="457">
        <f>+Pressupostos!B36</f>
        <v>0</v>
      </c>
      <c r="D69" s="457">
        <f t="shared" ref="D69:I69" si="11">+C69</f>
        <v>0</v>
      </c>
      <c r="E69" s="457">
        <f t="shared" si="11"/>
        <v>0</v>
      </c>
      <c r="F69" s="457">
        <f t="shared" si="11"/>
        <v>0</v>
      </c>
      <c r="G69" s="457">
        <f t="shared" si="11"/>
        <v>0</v>
      </c>
      <c r="H69" s="457">
        <f t="shared" si="11"/>
        <v>0</v>
      </c>
      <c r="I69" s="533">
        <f t="shared" si="11"/>
        <v>0</v>
      </c>
      <c r="J69" s="216"/>
      <c r="N69" s="217"/>
    </row>
    <row r="70" spans="1:15">
      <c r="A70" s="473" t="s">
        <v>459</v>
      </c>
      <c r="B70" s="462"/>
      <c r="C70" s="475">
        <f>+C68+Pressupostos!$B$37*(Avaliação!C69)</f>
        <v>0</v>
      </c>
      <c r="D70" s="475">
        <f>+D68+Pressupostos!$B$37*(Avaliação!D69)</f>
        <v>0</v>
      </c>
      <c r="E70" s="475">
        <f>+E68+Pressupostos!$B$37*(Avaliação!E69)</f>
        <v>0</v>
      </c>
      <c r="F70" s="475">
        <f>+F68+Pressupostos!$B$37*(Avaliação!F69)</f>
        <v>0</v>
      </c>
      <c r="G70" s="475">
        <f>+G68+Pressupostos!$B$37*(Avaliação!G69)</f>
        <v>0</v>
      </c>
      <c r="H70" s="475">
        <f>+H68+Pressupostos!$B$37*(Avaliação!H69)</f>
        <v>0</v>
      </c>
      <c r="I70" s="533">
        <f>+H70</f>
        <v>0</v>
      </c>
    </row>
    <row r="71" spans="1:15">
      <c r="A71" s="82" t="s">
        <v>296</v>
      </c>
      <c r="B71" s="201"/>
      <c r="C71" s="459">
        <v>1</v>
      </c>
      <c r="D71" s="460">
        <f>+C71*(1+D70)</f>
        <v>1</v>
      </c>
      <c r="E71" s="460">
        <f>+D71*(1+E70)</f>
        <v>1</v>
      </c>
      <c r="F71" s="460">
        <f>+E71*(1+F70)</f>
        <v>1</v>
      </c>
      <c r="G71" s="460">
        <f>+F71*(1+G70)</f>
        <v>1</v>
      </c>
      <c r="H71" s="460">
        <f>+G71*(1+H70)</f>
        <v>1</v>
      </c>
      <c r="I71" s="534" t="s">
        <v>211</v>
      </c>
    </row>
    <row r="72" spans="1:15" ht="13.2">
      <c r="A72" s="469" t="s">
        <v>8</v>
      </c>
      <c r="B72" s="48"/>
      <c r="C72" s="48"/>
      <c r="D72" s="48"/>
      <c r="E72" s="48"/>
      <c r="F72" s="48"/>
      <c r="G72" s="48"/>
      <c r="H72" s="48"/>
      <c r="I72" s="48"/>
    </row>
    <row r="73" spans="1:15">
      <c r="A73" s="57" t="s">
        <v>460</v>
      </c>
      <c r="B73" s="63"/>
      <c r="C73" s="470">
        <f>+Pressupostos!$B$33</f>
        <v>0</v>
      </c>
      <c r="D73" s="470">
        <f>+Pressupostos!$B$33</f>
        <v>0</v>
      </c>
      <c r="E73" s="470">
        <f>+Pressupostos!$B$33</f>
        <v>0</v>
      </c>
      <c r="F73" s="470">
        <f>+Pressupostos!$B$33</f>
        <v>0</v>
      </c>
      <c r="G73" s="470">
        <f>+Pressupostos!$B$33</f>
        <v>0</v>
      </c>
      <c r="H73" s="470">
        <f>+Pressupostos!$B$33</f>
        <v>0</v>
      </c>
      <c r="I73" s="48"/>
      <c r="J73" s="216"/>
    </row>
    <row r="74" spans="1:15">
      <c r="A74" s="57" t="s">
        <v>463</v>
      </c>
      <c r="B74" s="63"/>
      <c r="C74" s="470">
        <f>C73*(1-Pressupostos!$B$29)</f>
        <v>0</v>
      </c>
      <c r="D74" s="470">
        <f>D73*(1-Pressupostos!$B$29)</f>
        <v>0</v>
      </c>
      <c r="E74" s="470">
        <f>E73*(1-Pressupostos!$B$29)</f>
        <v>0</v>
      </c>
      <c r="F74" s="470">
        <f>F73*(1-Pressupostos!$B$29)</f>
        <v>0</v>
      </c>
      <c r="G74" s="470">
        <f>G73*(1-Pressupostos!$B$29)</f>
        <v>0</v>
      </c>
      <c r="H74" s="470">
        <f>H73*(1-Pressupostos!$B$29)</f>
        <v>0</v>
      </c>
      <c r="I74" s="48"/>
      <c r="J74" s="216"/>
    </row>
    <row r="75" spans="1:15">
      <c r="A75" s="48"/>
      <c r="B75" s="48"/>
      <c r="C75" s="48"/>
      <c r="D75" s="48"/>
      <c r="E75" s="48"/>
      <c r="F75" s="48"/>
      <c r="G75" s="48"/>
      <c r="H75" s="48"/>
      <c r="I75" s="48"/>
    </row>
    <row r="76" spans="1:15" ht="13.2">
      <c r="A76" s="474" t="s">
        <v>465</v>
      </c>
      <c r="B76" s="213"/>
      <c r="C76" s="48"/>
      <c r="D76" s="48"/>
      <c r="E76" s="48"/>
      <c r="F76" s="48"/>
      <c r="G76" s="48"/>
      <c r="H76" s="48"/>
      <c r="I76" s="48"/>
    </row>
    <row r="77" spans="1:15">
      <c r="A77" s="536" t="s">
        <v>462</v>
      </c>
      <c r="B77" s="465" t="s">
        <v>456</v>
      </c>
      <c r="C77" s="465">
        <f>+C27</f>
        <v>2025</v>
      </c>
      <c r="D77" s="466">
        <f>+C77+1</f>
        <v>2026</v>
      </c>
      <c r="E77" s="466">
        <f>+D77+1</f>
        <v>2027</v>
      </c>
      <c r="F77" s="466">
        <f>+E77+1</f>
        <v>2028</v>
      </c>
      <c r="G77" s="466">
        <f>+F77+1</f>
        <v>2029</v>
      </c>
      <c r="H77" s="466">
        <f>+G77+1</f>
        <v>2030</v>
      </c>
      <c r="I77" s="48"/>
      <c r="J77" s="216"/>
    </row>
    <row r="78" spans="1:15">
      <c r="A78" s="537" t="s">
        <v>134</v>
      </c>
      <c r="B78" s="538">
        <f>+Financiamento!C18</f>
        <v>370134.75</v>
      </c>
      <c r="C78" s="539">
        <f>IF(DR!$B$8&gt;0,Avaliação!B78,+Balanço!C39+Balanço!C46)</f>
        <v>370134.75</v>
      </c>
      <c r="D78" s="540">
        <f>Balanço!D39+Balanço!D46</f>
        <v>432045.57520000002</v>
      </c>
      <c r="E78" s="540">
        <f>Balanço!E39+Balanço!E46</f>
        <v>394058.89926194609</v>
      </c>
      <c r="F78" s="540">
        <f>Balanço!F39+Balanço!F46</f>
        <v>396890.08700344863</v>
      </c>
      <c r="G78" s="540">
        <f>Balanço!G39+Balanço!G46</f>
        <v>317470.24274205492</v>
      </c>
      <c r="H78" s="540">
        <f>Balanço!H39+Balanço!H46</f>
        <v>158450.87328133767</v>
      </c>
      <c r="I78" s="48"/>
      <c r="J78" s="216"/>
    </row>
    <row r="79" spans="1:15">
      <c r="A79" s="537" t="s">
        <v>122</v>
      </c>
      <c r="B79" s="538">
        <f>+Financiamento!C15+Financiamento!C16</f>
        <v>123378.25</v>
      </c>
      <c r="C79" s="539">
        <f>IF(DR!$B$8&gt;0,Avaliação!B79,+Balanço!C33)</f>
        <v>123378.25</v>
      </c>
      <c r="D79" s="540">
        <f>+Balanço!D33</f>
        <v>257973.61119773399</v>
      </c>
      <c r="E79" s="540">
        <f>+Balanço!E33</f>
        <v>349022.14691808057</v>
      </c>
      <c r="F79" s="540">
        <f>+Balanço!F33</f>
        <v>558749.13395230041</v>
      </c>
      <c r="G79" s="540">
        <f>+Balanço!G33</f>
        <v>952941.09763218579</v>
      </c>
      <c r="H79" s="540">
        <f>+Balanço!H33</f>
        <v>1573330.103532807</v>
      </c>
      <c r="I79" s="48"/>
      <c r="J79" s="216"/>
    </row>
    <row r="80" spans="1:15">
      <c r="A80" s="541" t="s">
        <v>31</v>
      </c>
      <c r="B80" s="538">
        <f>SUM(B78:B79)</f>
        <v>493513</v>
      </c>
      <c r="C80" s="539">
        <f t="shared" ref="C80:H80" si="12">+C78+C79</f>
        <v>493513</v>
      </c>
      <c r="D80" s="540">
        <f t="shared" si="12"/>
        <v>690019.18639773398</v>
      </c>
      <c r="E80" s="540">
        <f t="shared" si="12"/>
        <v>743081.04618002661</v>
      </c>
      <c r="F80" s="540">
        <f t="shared" si="12"/>
        <v>955639.22095574904</v>
      </c>
      <c r="G80" s="540">
        <f t="shared" si="12"/>
        <v>1270411.3403742407</v>
      </c>
      <c r="H80" s="540">
        <f t="shared" si="12"/>
        <v>1731780.9768141448</v>
      </c>
      <c r="I80" s="48"/>
      <c r="J80" s="216"/>
    </row>
    <row r="81" spans="1:10">
      <c r="A81" s="537" t="s">
        <v>293</v>
      </c>
      <c r="B81" s="542"/>
      <c r="C81" s="543">
        <f>+C78/C$80</f>
        <v>0.75</v>
      </c>
      <c r="D81" s="543">
        <f>+D78/D80</f>
        <v>0.62613559697594356</v>
      </c>
      <c r="E81" s="543">
        <f>+E78/E80</f>
        <v>0.53030406479574943</v>
      </c>
      <c r="F81" s="543">
        <f>+F78/F80</f>
        <v>0.41531372750326523</v>
      </c>
      <c r="G81" s="543">
        <f>+G78/G80</f>
        <v>0.24989563037790091</v>
      </c>
      <c r="H81" s="543">
        <f>+H78/H80</f>
        <v>9.1495908202450862E-2</v>
      </c>
      <c r="I81" s="48"/>
      <c r="J81" s="216"/>
    </row>
    <row r="82" spans="1:10">
      <c r="A82" s="537" t="s">
        <v>133</v>
      </c>
      <c r="B82" s="542"/>
      <c r="C82" s="543">
        <f>+C79/C$80</f>
        <v>0.25</v>
      </c>
      <c r="D82" s="543">
        <f>+D79/D80</f>
        <v>0.37386440302405649</v>
      </c>
      <c r="E82" s="543">
        <f>+E79/E80</f>
        <v>0.46969593520425068</v>
      </c>
      <c r="F82" s="543">
        <f>+F79/F80</f>
        <v>0.58468627249673477</v>
      </c>
      <c r="G82" s="543">
        <f>+G79/G80</f>
        <v>0.75010436962209914</v>
      </c>
      <c r="H82" s="543">
        <f>+H79/H80</f>
        <v>0.9085040917975491</v>
      </c>
      <c r="I82" s="48"/>
      <c r="J82" s="216"/>
    </row>
    <row r="83" spans="1:10">
      <c r="A83" s="461"/>
      <c r="B83" s="487" t="s">
        <v>457</v>
      </c>
      <c r="C83" s="48"/>
      <c r="D83" s="48"/>
      <c r="E83" s="48"/>
      <c r="F83" s="48"/>
      <c r="G83" s="48"/>
      <c r="H83" s="48"/>
      <c r="I83" s="48"/>
      <c r="J83" s="216"/>
    </row>
    <row r="84" spans="1:10">
      <c r="A84" s="461"/>
      <c r="B84" s="461"/>
      <c r="C84" s="48"/>
      <c r="D84" s="48"/>
      <c r="E84" s="48"/>
      <c r="F84" s="48"/>
      <c r="G84" s="48"/>
      <c r="H84" s="48"/>
      <c r="I84" s="48"/>
      <c r="J84" s="216"/>
    </row>
    <row r="85" spans="1:10" s="374" customFormat="1" ht="13.2">
      <c r="A85" s="474" t="s">
        <v>475</v>
      </c>
      <c r="B85" s="372"/>
      <c r="C85" s="375"/>
      <c r="D85" s="446"/>
      <c r="E85" s="372"/>
      <c r="F85" s="372"/>
      <c r="G85" s="372"/>
      <c r="H85" s="372"/>
      <c r="I85" s="372"/>
      <c r="J85" s="216"/>
    </row>
    <row r="86" spans="1:10" s="374" customFormat="1">
      <c r="A86" s="73" t="s">
        <v>458</v>
      </c>
      <c r="B86" s="201"/>
      <c r="C86" s="457">
        <f t="shared" ref="C86:I86" si="13">+C70</f>
        <v>0</v>
      </c>
      <c r="D86" s="457">
        <f t="shared" si="13"/>
        <v>0</v>
      </c>
      <c r="E86" s="457">
        <f t="shared" si="13"/>
        <v>0</v>
      </c>
      <c r="F86" s="457">
        <f t="shared" si="13"/>
        <v>0</v>
      </c>
      <c r="G86" s="457">
        <f t="shared" si="13"/>
        <v>0</v>
      </c>
      <c r="H86" s="463">
        <f t="shared" si="13"/>
        <v>0</v>
      </c>
      <c r="I86" s="464">
        <f t="shared" si="13"/>
        <v>0</v>
      </c>
      <c r="J86" s="216"/>
    </row>
    <row r="87" spans="1:10" s="374" customFormat="1">
      <c r="A87" s="73" t="s">
        <v>476</v>
      </c>
      <c r="B87" s="201"/>
      <c r="C87" s="457">
        <f t="shared" ref="C87:H87" si="14">+C74</f>
        <v>0</v>
      </c>
      <c r="D87" s="457">
        <f t="shared" si="14"/>
        <v>0</v>
      </c>
      <c r="E87" s="457">
        <f t="shared" si="14"/>
        <v>0</v>
      </c>
      <c r="F87" s="457">
        <f t="shared" si="14"/>
        <v>0</v>
      </c>
      <c r="G87" s="457">
        <f t="shared" si="14"/>
        <v>0</v>
      </c>
      <c r="H87" s="463">
        <f t="shared" si="14"/>
        <v>0</v>
      </c>
      <c r="I87" s="464">
        <f>+H87</f>
        <v>0</v>
      </c>
      <c r="J87" s="216"/>
    </row>
    <row r="88" spans="1:10">
      <c r="A88" s="473" t="s">
        <v>467</v>
      </c>
      <c r="B88" s="201"/>
      <c r="C88" s="475">
        <f t="shared" ref="C88:H88" si="15">+C86*C82+C87*C81</f>
        <v>0</v>
      </c>
      <c r="D88" s="475">
        <f t="shared" si="15"/>
        <v>0</v>
      </c>
      <c r="E88" s="475">
        <f t="shared" si="15"/>
        <v>0</v>
      </c>
      <c r="F88" s="475">
        <f t="shared" si="15"/>
        <v>0</v>
      </c>
      <c r="G88" s="475">
        <f t="shared" si="15"/>
        <v>0</v>
      </c>
      <c r="H88" s="476">
        <f t="shared" si="15"/>
        <v>0</v>
      </c>
      <c r="I88" s="464">
        <f>+H88</f>
        <v>0</v>
      </c>
    </row>
    <row r="89" spans="1:10" s="374" customFormat="1">
      <c r="A89" s="372"/>
      <c r="B89" s="372"/>
      <c r="C89" s="375"/>
      <c r="D89" s="446"/>
      <c r="E89" s="372"/>
      <c r="F89" s="372"/>
      <c r="G89" s="372"/>
      <c r="H89" s="372"/>
      <c r="I89" s="372"/>
      <c r="J89" s="216"/>
    </row>
    <row r="90" spans="1:10" s="374" customFormat="1" ht="13.2">
      <c r="A90" s="491" t="s">
        <v>466</v>
      </c>
      <c r="B90" s="492"/>
      <c r="C90" s="493"/>
      <c r="D90" s="494"/>
      <c r="E90" s="492"/>
      <c r="F90" s="492"/>
      <c r="G90" s="492"/>
      <c r="H90" s="492"/>
      <c r="I90" s="633" t="s">
        <v>477</v>
      </c>
      <c r="J90" s="216"/>
    </row>
    <row r="91" spans="1:10" ht="12">
      <c r="A91" s="495" t="s">
        <v>470</v>
      </c>
      <c r="B91" s="496"/>
      <c r="C91" s="497">
        <f>+Pressupostos!$B37*(1+(1-Pressupostos!$B29)*(Avaliação!C78/Avaliação!C79))</f>
        <v>3.37</v>
      </c>
      <c r="D91" s="498">
        <f>+Pressupostos!$B37*(1+(1-Pressupostos!$B29)*(Avaliação!D78/Avaliação!D79))</f>
        <v>2.3230655756738816</v>
      </c>
      <c r="E91" s="498">
        <f>+Pressupostos!$B37*(1+(1-Pressupostos!$B29)*(Avaliação!E78/Avaliação!E79))</f>
        <v>1.8919391882888297</v>
      </c>
      <c r="F91" s="498">
        <f>+Pressupostos!$B37*(1+(1-Pressupostos!$B29)*(Avaliação!F78/Avaliação!F79))</f>
        <v>1.5611519547509332</v>
      </c>
      <c r="G91" s="498">
        <f>+Pressupostos!$B37*(1+(1-Pressupostos!$B29)*(Avaliação!G78/Avaliação!G79))</f>
        <v>1.2631867723927541</v>
      </c>
      <c r="H91" s="498">
        <f>+Pressupostos!$B37*(1+(1-Pressupostos!$B29)*(Avaliação!H78/Avaliação!H79))</f>
        <v>1.0795613009699503</v>
      </c>
      <c r="I91" s="633"/>
      <c r="J91" s="216"/>
    </row>
    <row r="92" spans="1:10" ht="13.2">
      <c r="A92" s="471"/>
      <c r="B92" s="472"/>
      <c r="C92" s="468" t="s">
        <v>232</v>
      </c>
      <c r="D92" s="467"/>
      <c r="E92" s="48"/>
      <c r="F92" s="48"/>
      <c r="G92" s="48"/>
      <c r="H92" s="48"/>
      <c r="I92" s="633"/>
      <c r="J92" s="216"/>
    </row>
    <row r="93" spans="1:10">
      <c r="A93" s="499" t="s">
        <v>471</v>
      </c>
      <c r="B93" s="500"/>
      <c r="C93" s="501">
        <f t="shared" ref="C93:H93" si="16">(C68+(C91*C69))</f>
        <v>0</v>
      </c>
      <c r="D93" s="501">
        <f t="shared" si="16"/>
        <v>0</v>
      </c>
      <c r="E93" s="501">
        <f t="shared" si="16"/>
        <v>0</v>
      </c>
      <c r="F93" s="501">
        <f t="shared" si="16"/>
        <v>0</v>
      </c>
      <c r="G93" s="501">
        <f t="shared" si="16"/>
        <v>0</v>
      </c>
      <c r="H93" s="501">
        <f t="shared" si="16"/>
        <v>0</v>
      </c>
      <c r="I93" s="633"/>
      <c r="J93" s="216"/>
    </row>
    <row r="94" spans="1:10">
      <c r="A94" s="495" t="s">
        <v>461</v>
      </c>
      <c r="B94" s="502"/>
      <c r="C94" s="503">
        <f t="shared" ref="C94:H94" si="17">(C81*C74)+(C82*C93)</f>
        <v>0</v>
      </c>
      <c r="D94" s="503">
        <f t="shared" si="17"/>
        <v>0</v>
      </c>
      <c r="E94" s="503">
        <f t="shared" si="17"/>
        <v>0</v>
      </c>
      <c r="F94" s="503">
        <f t="shared" si="17"/>
        <v>0</v>
      </c>
      <c r="G94" s="503">
        <f t="shared" si="17"/>
        <v>0</v>
      </c>
      <c r="H94" s="504">
        <f t="shared" si="17"/>
        <v>0</v>
      </c>
      <c r="I94" s="633"/>
      <c r="J94" s="216"/>
    </row>
    <row r="95" spans="1:10" ht="13.2">
      <c r="A95" s="372"/>
      <c r="B95" s="372"/>
      <c r="C95" s="373"/>
      <c r="D95" s="477" t="s">
        <v>233</v>
      </c>
      <c r="E95" s="373"/>
      <c r="F95" s="373"/>
      <c r="G95" s="373"/>
      <c r="H95" s="373"/>
      <c r="I95" s="372"/>
      <c r="J95" s="216"/>
    </row>
    <row r="96" spans="1:10" ht="13.2">
      <c r="A96" s="372"/>
      <c r="B96" s="372"/>
      <c r="C96" s="375"/>
      <c r="D96" s="477"/>
      <c r="E96" s="372"/>
      <c r="F96" s="372"/>
      <c r="G96" s="372"/>
      <c r="H96" s="372"/>
      <c r="I96" s="372"/>
      <c r="J96" s="216"/>
    </row>
    <row r="97" spans="1:10" s="374" customFormat="1">
      <c r="A97" s="56"/>
      <c r="B97" s="56"/>
      <c r="C97" s="376"/>
      <c r="D97" s="56"/>
      <c r="E97" s="56"/>
      <c r="F97" s="56"/>
      <c r="G97" s="56"/>
      <c r="H97" s="56"/>
      <c r="I97" s="56"/>
      <c r="J97" s="216"/>
    </row>
    <row r="98" spans="1:10" s="374" customFormat="1">
      <c r="A98" s="56"/>
      <c r="B98" s="56"/>
      <c r="C98" s="376"/>
      <c r="D98" s="56"/>
      <c r="E98" s="56"/>
      <c r="F98" s="56"/>
      <c r="G98" s="56"/>
      <c r="H98" s="56"/>
      <c r="I98" s="56"/>
      <c r="J98" s="216"/>
    </row>
    <row r="99" spans="1:10">
      <c r="J99" s="216"/>
    </row>
    <row r="100" spans="1:10">
      <c r="C100" s="377"/>
      <c r="J100" s="216"/>
    </row>
    <row r="101" spans="1:10">
      <c r="J101" s="216"/>
    </row>
    <row r="102" spans="1:10">
      <c r="J102" s="216"/>
    </row>
    <row r="103" spans="1:10">
      <c r="J103" s="216"/>
    </row>
  </sheetData>
  <sheetProtection password="8318" sheet="1"/>
  <mergeCells count="14">
    <mergeCell ref="I90:I94"/>
    <mergeCell ref="A4:I4"/>
    <mergeCell ref="A47:B47"/>
    <mergeCell ref="K39:M40"/>
    <mergeCell ref="N39:N40"/>
    <mergeCell ref="K60:M61"/>
    <mergeCell ref="N60:N61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4803149606299213" right="0.74803149606299213" top="0.39370078740157483" bottom="0.39370078740157483" header="0.51181102362204722" footer="0.51181102362204722"/>
  <pageSetup paperSize="9" scale="54" orientation="landscape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70B3-F3A0-4464-B57E-ED6448E0E03A}">
  <sheetPr codeName="Folha6">
    <pageSetUpPr fitToPage="1"/>
  </sheetPr>
  <dimension ref="A1:H91"/>
  <sheetViews>
    <sheetView showGridLines="0" showZeros="0" topLeftCell="A7" zoomScaleNormal="100" workbookViewId="0">
      <selection activeCell="H7" sqref="H7"/>
    </sheetView>
  </sheetViews>
  <sheetFormatPr defaultColWidth="8.6640625" defaultRowHeight="10.199999999999999"/>
  <cols>
    <col min="1" max="1" width="42.33203125" style="56" customWidth="1"/>
    <col min="2" max="2" width="13.6640625" style="56" bestFit="1" customWidth="1"/>
    <col min="3" max="10" width="11.44140625" style="56" customWidth="1"/>
    <col min="11" max="16384" width="8.6640625" style="56"/>
  </cols>
  <sheetData>
    <row r="1" spans="1:8">
      <c r="A1" s="48"/>
      <c r="B1" s="48"/>
      <c r="C1" s="152"/>
      <c r="D1" s="152"/>
      <c r="E1" s="152"/>
      <c r="F1" s="152"/>
      <c r="G1" s="441" t="s">
        <v>44</v>
      </c>
      <c r="H1" s="452" t="str">
        <f>+Pressupostos!E1</f>
        <v>Flexible Energies</v>
      </c>
    </row>
    <row r="2" spans="1:8" s="189" customFormat="1">
      <c r="A2" s="42"/>
      <c r="B2" s="42"/>
      <c r="C2" s="42"/>
      <c r="D2" s="42"/>
      <c r="E2" s="40"/>
      <c r="F2" s="40"/>
      <c r="G2" s="40"/>
      <c r="H2" s="43"/>
    </row>
    <row r="3" spans="1:8" s="189" customFormat="1">
      <c r="A3" s="42"/>
      <c r="B3" s="42"/>
      <c r="C3" s="42"/>
      <c r="D3" s="42"/>
      <c r="E3" s="40"/>
      <c r="F3" s="40"/>
      <c r="G3" s="40"/>
      <c r="H3" s="43"/>
    </row>
    <row r="4" spans="1:8" ht="15.6">
      <c r="A4" s="576" t="s">
        <v>188</v>
      </c>
      <c r="B4" s="576"/>
      <c r="C4" s="576"/>
      <c r="D4" s="576"/>
      <c r="E4" s="576"/>
      <c r="F4" s="576"/>
      <c r="G4" s="576"/>
      <c r="H4" s="57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51" t="s">
        <v>189</v>
      </c>
      <c r="B6" s="48"/>
      <c r="C6" s="48"/>
      <c r="D6" s="48"/>
      <c r="E6" s="48"/>
      <c r="F6" s="48"/>
      <c r="G6" s="48"/>
      <c r="H6" s="48"/>
    </row>
    <row r="7" spans="1:8">
      <c r="A7" s="264" t="s">
        <v>441</v>
      </c>
      <c r="B7" s="265" t="s">
        <v>190</v>
      </c>
      <c r="C7" s="265" t="s">
        <v>191</v>
      </c>
      <c r="D7" s="265" t="s">
        <v>192</v>
      </c>
      <c r="E7" s="265" t="s">
        <v>193</v>
      </c>
      <c r="F7" s="265" t="s">
        <v>194</v>
      </c>
      <c r="G7" s="48"/>
      <c r="H7" s="48"/>
    </row>
    <row r="8" spans="1:8">
      <c r="A8" s="266"/>
      <c r="B8" s="267"/>
      <c r="C8" s="267"/>
      <c r="D8" s="267"/>
      <c r="E8" s="267"/>
      <c r="F8" s="267"/>
      <c r="G8" s="48"/>
      <c r="H8" s="48"/>
    </row>
    <row r="9" spans="1:8">
      <c r="A9" s="266"/>
      <c r="B9" s="267"/>
      <c r="C9" s="267"/>
      <c r="D9" s="267"/>
      <c r="E9" s="267"/>
      <c r="F9" s="267"/>
      <c r="G9" s="48"/>
      <c r="H9" s="48"/>
    </row>
    <row r="10" spans="1:8">
      <c r="A10" s="268"/>
      <c r="B10" s="32"/>
      <c r="C10" s="32"/>
      <c r="D10" s="32"/>
      <c r="E10" s="32"/>
      <c r="F10" s="32"/>
      <c r="G10" s="48"/>
      <c r="H10" s="48"/>
    </row>
    <row r="11" spans="1:8">
      <c r="A11" s="268"/>
      <c r="B11" s="32"/>
      <c r="C11" s="32"/>
      <c r="D11" s="32"/>
      <c r="E11" s="32"/>
      <c r="F11" s="32"/>
      <c r="G11" s="125"/>
      <c r="H11" s="125"/>
    </row>
    <row r="12" spans="1:8">
      <c r="A12" s="268"/>
      <c r="B12" s="32"/>
      <c r="C12" s="32"/>
      <c r="D12" s="32"/>
      <c r="E12" s="32"/>
      <c r="F12" s="32"/>
      <c r="G12" s="125"/>
      <c r="H12" s="125"/>
    </row>
    <row r="13" spans="1:8">
      <c r="A13" s="266"/>
      <c r="B13" s="32"/>
      <c r="C13" s="32"/>
      <c r="D13" s="32"/>
      <c r="E13" s="32"/>
      <c r="F13" s="32"/>
      <c r="G13" s="125"/>
      <c r="H13" s="125"/>
    </row>
    <row r="14" spans="1:8">
      <c r="A14" s="266"/>
      <c r="B14" s="32"/>
      <c r="C14" s="32"/>
      <c r="D14" s="32"/>
      <c r="E14" s="32"/>
      <c r="F14" s="32"/>
      <c r="G14" s="125"/>
      <c r="H14" s="125"/>
    </row>
    <row r="15" spans="1:8">
      <c r="A15" s="268"/>
      <c r="B15" s="32"/>
      <c r="C15" s="32"/>
      <c r="D15" s="32"/>
      <c r="E15" s="32"/>
      <c r="F15" s="32"/>
      <c r="G15" s="125"/>
      <c r="H15" s="125"/>
    </row>
    <row r="16" spans="1:8">
      <c r="A16" s="268"/>
      <c r="B16" s="32"/>
      <c r="C16" s="32"/>
      <c r="D16" s="32"/>
      <c r="E16" s="32"/>
      <c r="F16" s="32"/>
      <c r="G16" s="125"/>
      <c r="H16" s="125"/>
    </row>
    <row r="17" spans="1:8">
      <c r="A17" s="266"/>
      <c r="B17" s="32"/>
      <c r="C17" s="32"/>
      <c r="D17" s="32"/>
      <c r="E17" s="32"/>
      <c r="F17" s="32"/>
      <c r="G17" s="125"/>
      <c r="H17" s="125"/>
    </row>
    <row r="18" spans="1:8">
      <c r="A18" s="266"/>
      <c r="B18" s="32"/>
      <c r="C18" s="32"/>
      <c r="D18" s="32"/>
      <c r="E18" s="32"/>
      <c r="F18" s="32"/>
      <c r="G18" s="125"/>
      <c r="H18" s="125"/>
    </row>
    <row r="19" spans="1:8">
      <c r="A19" s="266"/>
      <c r="B19" s="32"/>
      <c r="C19" s="32"/>
      <c r="D19" s="32"/>
      <c r="E19" s="32"/>
      <c r="F19" s="32"/>
      <c r="G19" s="125"/>
      <c r="H19" s="125"/>
    </row>
    <row r="20" spans="1:8">
      <c r="A20" s="266"/>
      <c r="B20" s="269"/>
      <c r="C20" s="269"/>
      <c r="D20" s="269"/>
      <c r="E20" s="269"/>
      <c r="F20" s="269"/>
      <c r="G20" s="125"/>
      <c r="H20" s="125"/>
    </row>
    <row r="21" spans="1:8">
      <c r="A21" s="266"/>
      <c r="B21" s="270"/>
      <c r="C21" s="271"/>
      <c r="D21" s="271"/>
      <c r="E21" s="271"/>
      <c r="F21" s="272"/>
      <c r="G21" s="125"/>
      <c r="H21" s="125"/>
    </row>
    <row r="22" spans="1:8">
      <c r="A22" s="48"/>
      <c r="B22" s="273"/>
      <c r="C22" s="273"/>
      <c r="D22" s="273"/>
      <c r="E22" s="273"/>
      <c r="F22" s="273"/>
      <c r="G22" s="125"/>
      <c r="H22" s="125"/>
    </row>
    <row r="23" spans="1:8">
      <c r="A23" s="48"/>
      <c r="B23" s="273"/>
      <c r="C23" s="273"/>
      <c r="D23" s="273"/>
      <c r="E23" s="273"/>
      <c r="F23" s="273"/>
      <c r="G23" s="125"/>
      <c r="H23" s="125"/>
    </row>
    <row r="24" spans="1:8">
      <c r="A24" s="451" t="s">
        <v>195</v>
      </c>
      <c r="B24" s="48"/>
      <c r="C24" s="48"/>
      <c r="D24" s="48"/>
      <c r="E24" s="48"/>
      <c r="F24" s="48"/>
      <c r="G24" s="125"/>
      <c r="H24" s="125" t="s">
        <v>196</v>
      </c>
    </row>
    <row r="25" spans="1:8">
      <c r="A25" s="264" t="s">
        <v>197</v>
      </c>
      <c r="B25" s="274"/>
      <c r="C25" s="265">
        <f>+Pressupostos!B11</f>
        <v>2025</v>
      </c>
      <c r="D25" s="265">
        <f>+C25+1</f>
        <v>2026</v>
      </c>
      <c r="E25" s="265">
        <f>+D25+1</f>
        <v>2027</v>
      </c>
      <c r="F25" s="265">
        <f>+E25+1</f>
        <v>2028</v>
      </c>
      <c r="G25" s="265">
        <f>+F25+1</f>
        <v>2029</v>
      </c>
      <c r="H25" s="265">
        <f>+G25+1</f>
        <v>2030</v>
      </c>
    </row>
    <row r="26" spans="1:8">
      <c r="A26" s="250" t="s">
        <v>191</v>
      </c>
      <c r="B26" s="275"/>
      <c r="C26" s="267"/>
      <c r="D26" s="267"/>
      <c r="E26" s="267"/>
      <c r="F26" s="267"/>
      <c r="G26" s="267"/>
      <c r="H26" s="267"/>
    </row>
    <row r="27" spans="1:8">
      <c r="A27" s="250" t="s">
        <v>192</v>
      </c>
      <c r="B27" s="276"/>
      <c r="C27" s="32"/>
      <c r="D27" s="32"/>
      <c r="E27" s="32"/>
      <c r="F27" s="32"/>
      <c r="G27" s="32"/>
      <c r="H27" s="32"/>
    </row>
    <row r="28" spans="1:8">
      <c r="A28" s="250" t="s">
        <v>193</v>
      </c>
      <c r="B28" s="276"/>
      <c r="C28" s="32"/>
      <c r="D28" s="32"/>
      <c r="E28" s="32"/>
      <c r="F28" s="32"/>
      <c r="G28" s="32"/>
      <c r="H28" s="32"/>
    </row>
    <row r="29" spans="1:8">
      <c r="A29" s="250" t="s">
        <v>194</v>
      </c>
      <c r="B29" s="276"/>
      <c r="C29" s="32"/>
      <c r="D29" s="32"/>
      <c r="E29" s="32"/>
      <c r="F29" s="32"/>
      <c r="G29" s="32"/>
      <c r="H29" s="32"/>
    </row>
    <row r="30" spans="1:8">
      <c r="A30" s="266"/>
      <c r="B30" s="276"/>
      <c r="C30" s="32"/>
      <c r="D30" s="32"/>
      <c r="E30" s="32"/>
      <c r="F30" s="32"/>
      <c r="G30" s="32"/>
      <c r="H30" s="32"/>
    </row>
    <row r="31" spans="1:8">
      <c r="A31" s="266"/>
      <c r="B31" s="276"/>
      <c r="C31" s="32"/>
      <c r="D31" s="32"/>
      <c r="E31" s="32"/>
      <c r="F31" s="32"/>
      <c r="G31" s="32"/>
      <c r="H31" s="32"/>
    </row>
    <row r="32" spans="1:8">
      <c r="A32" s="268"/>
      <c r="B32" s="276"/>
      <c r="C32" s="32"/>
      <c r="D32" s="32"/>
      <c r="E32" s="32"/>
      <c r="F32" s="32"/>
      <c r="G32" s="32"/>
      <c r="H32" s="32"/>
    </row>
    <row r="33" spans="1:8">
      <c r="A33" s="643" t="s">
        <v>31</v>
      </c>
      <c r="B33" s="644"/>
      <c r="C33" s="277">
        <f t="shared" ref="C33:H33" si="0">+SUM(C26:C32)</f>
        <v>0</v>
      </c>
      <c r="D33" s="277">
        <f t="shared" si="0"/>
        <v>0</v>
      </c>
      <c r="E33" s="277">
        <f t="shared" si="0"/>
        <v>0</v>
      </c>
      <c r="F33" s="277">
        <f t="shared" si="0"/>
        <v>0</v>
      </c>
      <c r="G33" s="277">
        <f t="shared" si="0"/>
        <v>0</v>
      </c>
      <c r="H33" s="277">
        <f t="shared" si="0"/>
        <v>0</v>
      </c>
    </row>
    <row r="34" spans="1:8">
      <c r="A34" s="69"/>
      <c r="B34" s="278"/>
      <c r="C34" s="125"/>
      <c r="D34" s="125"/>
      <c r="E34" s="125"/>
      <c r="F34" s="125"/>
      <c r="G34" s="125"/>
      <c r="H34" s="125"/>
    </row>
    <row r="35" spans="1:8">
      <c r="A35" s="451" t="s">
        <v>300</v>
      </c>
      <c r="B35" s="48"/>
      <c r="C35" s="48"/>
      <c r="D35" s="48"/>
      <c r="E35" s="48"/>
      <c r="F35" s="48"/>
      <c r="G35" s="125"/>
      <c r="H35" s="125" t="s">
        <v>442</v>
      </c>
    </row>
    <row r="36" spans="1:8">
      <c r="A36" s="643" t="s">
        <v>301</v>
      </c>
      <c r="B36" s="644"/>
      <c r="C36" s="265">
        <f t="shared" ref="C36:H36" si="1">+C25</f>
        <v>2025</v>
      </c>
      <c r="D36" s="265">
        <f t="shared" si="1"/>
        <v>2026</v>
      </c>
      <c r="E36" s="265">
        <f t="shared" si="1"/>
        <v>2027</v>
      </c>
      <c r="F36" s="265">
        <f t="shared" si="1"/>
        <v>2028</v>
      </c>
      <c r="G36" s="265">
        <f t="shared" si="1"/>
        <v>2029</v>
      </c>
      <c r="H36" s="265">
        <f t="shared" si="1"/>
        <v>2030</v>
      </c>
    </row>
    <row r="37" spans="1:8">
      <c r="A37" s="266"/>
      <c r="B37" s="275"/>
      <c r="C37" s="267"/>
      <c r="D37" s="267"/>
      <c r="E37" s="267"/>
      <c r="F37" s="267"/>
      <c r="G37" s="267"/>
      <c r="H37" s="267"/>
    </row>
    <row r="38" spans="1:8">
      <c r="A38" s="279"/>
      <c r="B38" s="275"/>
      <c r="C38" s="267"/>
      <c r="D38" s="267"/>
      <c r="E38" s="267"/>
      <c r="F38" s="267"/>
      <c r="G38" s="267"/>
      <c r="H38" s="267"/>
    </row>
    <row r="39" spans="1:8">
      <c r="A39" s="279"/>
      <c r="B39" s="275"/>
      <c r="C39" s="267"/>
      <c r="D39" s="267"/>
      <c r="E39" s="267"/>
      <c r="F39" s="267"/>
      <c r="G39" s="267"/>
      <c r="H39" s="267"/>
    </row>
    <row r="40" spans="1:8">
      <c r="A40" s="279"/>
      <c r="B40" s="275"/>
      <c r="C40" s="267"/>
      <c r="D40" s="267"/>
      <c r="E40" s="267"/>
      <c r="F40" s="267"/>
      <c r="G40" s="267"/>
      <c r="H40" s="267"/>
    </row>
    <row r="41" spans="1:8">
      <c r="A41" s="279"/>
      <c r="B41" s="275"/>
      <c r="C41" s="267"/>
      <c r="D41" s="267"/>
      <c r="E41" s="267"/>
      <c r="F41" s="267"/>
      <c r="G41" s="267"/>
      <c r="H41" s="267"/>
    </row>
    <row r="42" spans="1:8">
      <c r="A42" s="279"/>
      <c r="B42" s="275"/>
      <c r="C42" s="267"/>
      <c r="D42" s="267"/>
      <c r="E42" s="267"/>
      <c r="F42" s="267"/>
      <c r="G42" s="267"/>
      <c r="H42" s="267"/>
    </row>
    <row r="43" spans="1:8">
      <c r="A43" s="279"/>
      <c r="B43" s="275"/>
      <c r="C43" s="267"/>
      <c r="D43" s="267"/>
      <c r="E43" s="267"/>
      <c r="F43" s="267"/>
      <c r="G43" s="267"/>
      <c r="H43" s="267"/>
    </row>
    <row r="44" spans="1:8">
      <c r="A44" s="279"/>
      <c r="B44" s="276"/>
      <c r="C44" s="267"/>
      <c r="D44" s="267"/>
      <c r="E44" s="267"/>
      <c r="F44" s="267"/>
      <c r="G44" s="267"/>
      <c r="H44" s="267"/>
    </row>
    <row r="45" spans="1:8">
      <c r="A45" s="279"/>
      <c r="B45" s="276"/>
      <c r="C45" s="267"/>
      <c r="D45" s="267"/>
      <c r="E45" s="267"/>
      <c r="F45" s="267"/>
      <c r="G45" s="267"/>
      <c r="H45" s="267"/>
    </row>
    <row r="46" spans="1:8">
      <c r="A46" s="279"/>
      <c r="B46" s="276"/>
      <c r="C46" s="267"/>
      <c r="D46" s="267"/>
      <c r="E46" s="267"/>
      <c r="F46" s="267"/>
      <c r="G46" s="267"/>
      <c r="H46" s="267"/>
    </row>
    <row r="47" spans="1:8">
      <c r="A47" s="266"/>
      <c r="B47" s="276"/>
      <c r="C47" s="267"/>
      <c r="D47" s="267"/>
      <c r="E47" s="267"/>
      <c r="F47" s="267"/>
      <c r="G47" s="267"/>
      <c r="H47" s="267"/>
    </row>
    <row r="48" spans="1:8">
      <c r="A48" s="266"/>
      <c r="B48" s="276"/>
      <c r="C48" s="267"/>
      <c r="D48" s="267"/>
      <c r="E48" s="267"/>
      <c r="F48" s="267"/>
      <c r="G48" s="267"/>
      <c r="H48" s="267"/>
    </row>
    <row r="49" spans="1:8">
      <c r="A49" s="266"/>
      <c r="B49" s="276"/>
      <c r="C49" s="267"/>
      <c r="D49" s="267"/>
      <c r="E49" s="267"/>
      <c r="F49" s="267"/>
      <c r="G49" s="267"/>
      <c r="H49" s="267"/>
    </row>
    <row r="50" spans="1:8">
      <c r="A50" s="268"/>
      <c r="B50" s="276"/>
      <c r="C50" s="32"/>
      <c r="D50" s="32"/>
      <c r="E50" s="32"/>
      <c r="F50" s="32"/>
      <c r="G50" s="32"/>
      <c r="H50" s="32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48"/>
      <c r="B52" s="48"/>
      <c r="C52" s="48"/>
      <c r="D52" s="48"/>
      <c r="E52" s="48"/>
      <c r="F52" s="48"/>
      <c r="G52" s="48"/>
      <c r="H52" s="48"/>
    </row>
    <row r="53" spans="1:8">
      <c r="A53" s="451" t="s">
        <v>302</v>
      </c>
      <c r="B53" s="48"/>
      <c r="C53" s="48"/>
      <c r="D53" s="48"/>
      <c r="E53" s="48"/>
      <c r="F53" s="48"/>
      <c r="G53" s="125"/>
      <c r="H53" s="125"/>
    </row>
    <row r="54" spans="1:8">
      <c r="A54" s="643" t="s">
        <v>303</v>
      </c>
      <c r="B54" s="644"/>
      <c r="C54" s="265">
        <f t="shared" ref="C54:H54" si="2">+C36</f>
        <v>2025</v>
      </c>
      <c r="D54" s="265">
        <f t="shared" si="2"/>
        <v>2026</v>
      </c>
      <c r="E54" s="265">
        <f t="shared" si="2"/>
        <v>2027</v>
      </c>
      <c r="F54" s="265">
        <f t="shared" si="2"/>
        <v>2028</v>
      </c>
      <c r="G54" s="265">
        <f t="shared" si="2"/>
        <v>2029</v>
      </c>
      <c r="H54" s="265">
        <f t="shared" si="2"/>
        <v>2030</v>
      </c>
    </row>
    <row r="55" spans="1:8">
      <c r="A55" s="266"/>
      <c r="B55" s="275"/>
      <c r="C55" s="267"/>
      <c r="D55" s="267"/>
      <c r="E55" s="267"/>
      <c r="F55" s="267"/>
      <c r="G55" s="267"/>
      <c r="H55" s="267"/>
    </row>
    <row r="56" spans="1:8">
      <c r="A56" s="279"/>
      <c r="B56" s="275"/>
      <c r="C56" s="267"/>
      <c r="D56" s="267"/>
      <c r="E56" s="267"/>
      <c r="F56" s="267"/>
      <c r="G56" s="267"/>
      <c r="H56" s="267"/>
    </row>
    <row r="57" spans="1:8">
      <c r="A57" s="279"/>
      <c r="B57" s="275"/>
      <c r="C57" s="267"/>
      <c r="D57" s="267"/>
      <c r="E57" s="267"/>
      <c r="F57" s="267"/>
      <c r="G57" s="267"/>
      <c r="H57" s="267"/>
    </row>
    <row r="58" spans="1:8">
      <c r="A58" s="279"/>
      <c r="B58" s="275"/>
      <c r="C58" s="267"/>
      <c r="D58" s="267"/>
      <c r="E58" s="267"/>
      <c r="F58" s="267"/>
      <c r="G58" s="267"/>
      <c r="H58" s="267"/>
    </row>
    <row r="59" spans="1:8">
      <c r="A59" s="279"/>
      <c r="B59" s="275"/>
      <c r="C59" s="267"/>
      <c r="D59" s="267"/>
      <c r="E59" s="267"/>
      <c r="F59" s="267"/>
      <c r="G59" s="267"/>
      <c r="H59" s="267"/>
    </row>
    <row r="60" spans="1:8">
      <c r="A60" s="279"/>
      <c r="B60" s="275"/>
      <c r="C60" s="267"/>
      <c r="D60" s="267"/>
      <c r="E60" s="267"/>
      <c r="F60" s="267"/>
      <c r="G60" s="267"/>
      <c r="H60" s="267"/>
    </row>
    <row r="61" spans="1:8">
      <c r="A61" s="279"/>
      <c r="B61" s="275"/>
      <c r="C61" s="267"/>
      <c r="D61" s="267"/>
      <c r="E61" s="267"/>
      <c r="F61" s="267"/>
      <c r="G61" s="267"/>
      <c r="H61" s="267"/>
    </row>
    <row r="62" spans="1:8">
      <c r="A62" s="279"/>
      <c r="B62" s="276"/>
      <c r="C62" s="32"/>
      <c r="D62" s="32"/>
      <c r="E62" s="32"/>
      <c r="F62" s="32"/>
      <c r="G62" s="32"/>
      <c r="H62" s="32"/>
    </row>
    <row r="63" spans="1:8">
      <c r="A63" s="279"/>
      <c r="B63" s="276"/>
      <c r="C63" s="32"/>
      <c r="D63" s="32"/>
      <c r="E63" s="32"/>
      <c r="F63" s="32"/>
      <c r="G63" s="32"/>
      <c r="H63" s="32"/>
    </row>
    <row r="64" spans="1:8">
      <c r="A64" s="279"/>
      <c r="B64" s="276"/>
      <c r="C64" s="32"/>
      <c r="D64" s="32"/>
      <c r="E64" s="32"/>
      <c r="F64" s="32"/>
      <c r="G64" s="32"/>
      <c r="H64" s="32"/>
    </row>
    <row r="65" spans="1:8">
      <c r="A65" s="266"/>
      <c r="B65" s="276"/>
      <c r="C65" s="32"/>
      <c r="D65" s="32"/>
      <c r="E65" s="32"/>
      <c r="F65" s="32"/>
      <c r="G65" s="32"/>
      <c r="H65" s="32"/>
    </row>
    <row r="66" spans="1:8">
      <c r="A66" s="266"/>
      <c r="B66" s="276"/>
      <c r="C66" s="32"/>
      <c r="D66" s="32"/>
      <c r="E66" s="32"/>
      <c r="F66" s="32"/>
      <c r="G66" s="32"/>
      <c r="H66" s="32"/>
    </row>
    <row r="67" spans="1:8">
      <c r="A67" s="266"/>
      <c r="B67" s="276"/>
      <c r="C67" s="32"/>
      <c r="D67" s="32"/>
      <c r="E67" s="32"/>
      <c r="F67" s="32"/>
      <c r="G67" s="32"/>
      <c r="H67" s="32"/>
    </row>
    <row r="68" spans="1:8">
      <c r="A68" s="268"/>
      <c r="B68" s="276"/>
      <c r="C68" s="32"/>
      <c r="D68" s="32"/>
      <c r="E68" s="32"/>
      <c r="F68" s="32"/>
      <c r="G68" s="32"/>
      <c r="H68" s="32"/>
    </row>
    <row r="69" spans="1:8">
      <c r="A69" s="48"/>
      <c r="B69" s="48"/>
      <c r="C69" s="48"/>
      <c r="D69" s="48"/>
      <c r="E69" s="48"/>
      <c r="F69" s="48"/>
      <c r="G69" s="48"/>
      <c r="H69" s="48"/>
    </row>
    <row r="70" spans="1:8">
      <c r="A70" s="48"/>
      <c r="B70" s="48"/>
      <c r="C70" s="48"/>
      <c r="D70" s="48"/>
      <c r="E70" s="48"/>
      <c r="F70" s="48"/>
      <c r="G70" s="48"/>
      <c r="H70" s="48"/>
    </row>
    <row r="71" spans="1:8">
      <c r="A71" s="451" t="s">
        <v>198</v>
      </c>
      <c r="B71" s="48"/>
      <c r="C71" s="48"/>
      <c r="D71" s="48"/>
      <c r="E71" s="48"/>
      <c r="F71" s="48"/>
      <c r="G71" s="125"/>
      <c r="H71" s="125"/>
    </row>
    <row r="72" spans="1:8">
      <c r="A72" s="643" t="s">
        <v>303</v>
      </c>
      <c r="B72" s="644"/>
      <c r="C72" s="265">
        <f t="shared" ref="C72:H72" si="3">+C25</f>
        <v>2025</v>
      </c>
      <c r="D72" s="265">
        <f t="shared" si="3"/>
        <v>2026</v>
      </c>
      <c r="E72" s="265">
        <f t="shared" si="3"/>
        <v>2027</v>
      </c>
      <c r="F72" s="265">
        <f t="shared" si="3"/>
        <v>2028</v>
      </c>
      <c r="G72" s="265">
        <f t="shared" si="3"/>
        <v>2029</v>
      </c>
      <c r="H72" s="265">
        <f t="shared" si="3"/>
        <v>2030</v>
      </c>
    </row>
    <row r="73" spans="1:8">
      <c r="A73" s="266"/>
      <c r="B73" s="275"/>
      <c r="C73" s="267">
        <f t="shared" ref="C73:H73" si="4">+C37*C55</f>
        <v>0</v>
      </c>
      <c r="D73" s="267">
        <f t="shared" si="4"/>
        <v>0</v>
      </c>
      <c r="E73" s="267">
        <f t="shared" si="4"/>
        <v>0</v>
      </c>
      <c r="F73" s="267">
        <f t="shared" si="4"/>
        <v>0</v>
      </c>
      <c r="G73" s="267">
        <f t="shared" si="4"/>
        <v>0</v>
      </c>
      <c r="H73" s="267">
        <f t="shared" si="4"/>
        <v>0</v>
      </c>
    </row>
    <row r="74" spans="1:8">
      <c r="A74" s="279"/>
      <c r="B74" s="275"/>
      <c r="C74" s="267">
        <f t="shared" ref="C74:H86" si="5">+C38*C56</f>
        <v>0</v>
      </c>
      <c r="D74" s="267">
        <f t="shared" si="5"/>
        <v>0</v>
      </c>
      <c r="E74" s="267">
        <f t="shared" si="5"/>
        <v>0</v>
      </c>
      <c r="F74" s="267">
        <f t="shared" si="5"/>
        <v>0</v>
      </c>
      <c r="G74" s="267">
        <f t="shared" si="5"/>
        <v>0</v>
      </c>
      <c r="H74" s="267">
        <f t="shared" si="5"/>
        <v>0</v>
      </c>
    </row>
    <row r="75" spans="1:8">
      <c r="A75" s="279"/>
      <c r="B75" s="275"/>
      <c r="C75" s="267">
        <f t="shared" si="5"/>
        <v>0</v>
      </c>
      <c r="D75" s="267">
        <f t="shared" si="5"/>
        <v>0</v>
      </c>
      <c r="E75" s="267">
        <f t="shared" si="5"/>
        <v>0</v>
      </c>
      <c r="F75" s="267">
        <f t="shared" si="5"/>
        <v>0</v>
      </c>
      <c r="G75" s="267">
        <f t="shared" si="5"/>
        <v>0</v>
      </c>
      <c r="H75" s="267">
        <f t="shared" si="5"/>
        <v>0</v>
      </c>
    </row>
    <row r="76" spans="1:8">
      <c r="A76" s="279"/>
      <c r="B76" s="275"/>
      <c r="C76" s="267">
        <f t="shared" si="5"/>
        <v>0</v>
      </c>
      <c r="D76" s="267">
        <f t="shared" si="5"/>
        <v>0</v>
      </c>
      <c r="E76" s="267">
        <f t="shared" si="5"/>
        <v>0</v>
      </c>
      <c r="F76" s="267">
        <f t="shared" si="5"/>
        <v>0</v>
      </c>
      <c r="G76" s="267">
        <f t="shared" si="5"/>
        <v>0</v>
      </c>
      <c r="H76" s="267">
        <f t="shared" si="5"/>
        <v>0</v>
      </c>
    </row>
    <row r="77" spans="1:8">
      <c r="A77" s="279"/>
      <c r="B77" s="275"/>
      <c r="C77" s="267">
        <f t="shared" si="5"/>
        <v>0</v>
      </c>
      <c r="D77" s="267">
        <f t="shared" si="5"/>
        <v>0</v>
      </c>
      <c r="E77" s="267">
        <f t="shared" si="5"/>
        <v>0</v>
      </c>
      <c r="F77" s="267">
        <f t="shared" si="5"/>
        <v>0</v>
      </c>
      <c r="G77" s="267">
        <f t="shared" si="5"/>
        <v>0</v>
      </c>
      <c r="H77" s="267">
        <f t="shared" si="5"/>
        <v>0</v>
      </c>
    </row>
    <row r="78" spans="1:8">
      <c r="A78" s="279"/>
      <c r="B78" s="275"/>
      <c r="C78" s="267">
        <f t="shared" si="5"/>
        <v>0</v>
      </c>
      <c r="D78" s="267">
        <f t="shared" si="5"/>
        <v>0</v>
      </c>
      <c r="E78" s="267">
        <f t="shared" si="5"/>
        <v>0</v>
      </c>
      <c r="F78" s="267">
        <f t="shared" si="5"/>
        <v>0</v>
      </c>
      <c r="G78" s="267">
        <f t="shared" si="5"/>
        <v>0</v>
      </c>
      <c r="H78" s="267">
        <f t="shared" si="5"/>
        <v>0</v>
      </c>
    </row>
    <row r="79" spans="1:8">
      <c r="A79" s="279"/>
      <c r="B79" s="275"/>
      <c r="C79" s="267">
        <f t="shared" si="5"/>
        <v>0</v>
      </c>
      <c r="D79" s="267">
        <f t="shared" si="5"/>
        <v>0</v>
      </c>
      <c r="E79" s="267">
        <f t="shared" si="5"/>
        <v>0</v>
      </c>
      <c r="F79" s="267">
        <f t="shared" si="5"/>
        <v>0</v>
      </c>
      <c r="G79" s="267">
        <f t="shared" si="5"/>
        <v>0</v>
      </c>
      <c r="H79" s="267">
        <f t="shared" si="5"/>
        <v>0</v>
      </c>
    </row>
    <row r="80" spans="1:8">
      <c r="A80" s="279"/>
      <c r="B80" s="276"/>
      <c r="C80" s="267">
        <f t="shared" si="5"/>
        <v>0</v>
      </c>
      <c r="D80" s="267">
        <f t="shared" si="5"/>
        <v>0</v>
      </c>
      <c r="E80" s="267">
        <f t="shared" si="5"/>
        <v>0</v>
      </c>
      <c r="F80" s="267">
        <f t="shared" si="5"/>
        <v>0</v>
      </c>
      <c r="G80" s="267">
        <f t="shared" si="5"/>
        <v>0</v>
      </c>
      <c r="H80" s="267">
        <f t="shared" si="5"/>
        <v>0</v>
      </c>
    </row>
    <row r="81" spans="1:8">
      <c r="A81" s="279"/>
      <c r="B81" s="276"/>
      <c r="C81" s="267">
        <f t="shared" si="5"/>
        <v>0</v>
      </c>
      <c r="D81" s="267">
        <f t="shared" si="5"/>
        <v>0</v>
      </c>
      <c r="E81" s="267">
        <f t="shared" si="5"/>
        <v>0</v>
      </c>
      <c r="F81" s="267">
        <f t="shared" si="5"/>
        <v>0</v>
      </c>
      <c r="G81" s="267">
        <f t="shared" si="5"/>
        <v>0</v>
      </c>
      <c r="H81" s="267">
        <f t="shared" si="5"/>
        <v>0</v>
      </c>
    </row>
    <row r="82" spans="1:8">
      <c r="A82" s="279"/>
      <c r="B82" s="276"/>
      <c r="C82" s="267">
        <f t="shared" si="5"/>
        <v>0</v>
      </c>
      <c r="D82" s="267">
        <f t="shared" si="5"/>
        <v>0</v>
      </c>
      <c r="E82" s="267">
        <f t="shared" si="5"/>
        <v>0</v>
      </c>
      <c r="F82" s="267">
        <f t="shared" si="5"/>
        <v>0</v>
      </c>
      <c r="G82" s="267">
        <f t="shared" si="5"/>
        <v>0</v>
      </c>
      <c r="H82" s="267">
        <f t="shared" si="5"/>
        <v>0</v>
      </c>
    </row>
    <row r="83" spans="1:8">
      <c r="A83" s="266"/>
      <c r="B83" s="276"/>
      <c r="C83" s="267">
        <f t="shared" si="5"/>
        <v>0</v>
      </c>
      <c r="D83" s="267">
        <f t="shared" si="5"/>
        <v>0</v>
      </c>
      <c r="E83" s="267">
        <f t="shared" si="5"/>
        <v>0</v>
      </c>
      <c r="F83" s="267">
        <f t="shared" si="5"/>
        <v>0</v>
      </c>
      <c r="G83" s="267">
        <f t="shared" si="5"/>
        <v>0</v>
      </c>
      <c r="H83" s="267">
        <f t="shared" si="5"/>
        <v>0</v>
      </c>
    </row>
    <row r="84" spans="1:8">
      <c r="A84" s="266"/>
      <c r="B84" s="276"/>
      <c r="C84" s="267">
        <f t="shared" si="5"/>
        <v>0</v>
      </c>
      <c r="D84" s="267">
        <f t="shared" si="5"/>
        <v>0</v>
      </c>
      <c r="E84" s="267">
        <f t="shared" si="5"/>
        <v>0</v>
      </c>
      <c r="F84" s="267">
        <f t="shared" si="5"/>
        <v>0</v>
      </c>
      <c r="G84" s="267">
        <f t="shared" si="5"/>
        <v>0</v>
      </c>
      <c r="H84" s="267">
        <f t="shared" si="5"/>
        <v>0</v>
      </c>
    </row>
    <row r="85" spans="1:8">
      <c r="A85" s="266"/>
      <c r="B85" s="276"/>
      <c r="C85" s="267">
        <f t="shared" si="5"/>
        <v>0</v>
      </c>
      <c r="D85" s="267">
        <f t="shared" si="5"/>
        <v>0</v>
      </c>
      <c r="E85" s="267">
        <f t="shared" si="5"/>
        <v>0</v>
      </c>
      <c r="F85" s="267">
        <f t="shared" si="5"/>
        <v>0</v>
      </c>
      <c r="G85" s="267">
        <f t="shared" si="5"/>
        <v>0</v>
      </c>
      <c r="H85" s="267">
        <f t="shared" si="5"/>
        <v>0</v>
      </c>
    </row>
    <row r="86" spans="1:8">
      <c r="A86" s="268"/>
      <c r="B86" s="276"/>
      <c r="C86" s="267">
        <f t="shared" si="5"/>
        <v>0</v>
      </c>
      <c r="D86" s="267">
        <f t="shared" si="5"/>
        <v>0</v>
      </c>
      <c r="E86" s="267">
        <f t="shared" si="5"/>
        <v>0</v>
      </c>
      <c r="F86" s="267">
        <f t="shared" si="5"/>
        <v>0</v>
      </c>
      <c r="G86" s="267">
        <f t="shared" si="5"/>
        <v>0</v>
      </c>
      <c r="H86" s="267">
        <f t="shared" si="5"/>
        <v>0</v>
      </c>
    </row>
    <row r="87" spans="1:8">
      <c r="A87" s="643" t="s">
        <v>31</v>
      </c>
      <c r="B87" s="644"/>
      <c r="C87" s="277">
        <f t="shared" ref="C87:H87" si="6">+SUM(C73:C86)</f>
        <v>0</v>
      </c>
      <c r="D87" s="277">
        <f t="shared" si="6"/>
        <v>0</v>
      </c>
      <c r="E87" s="277">
        <f t="shared" si="6"/>
        <v>0</v>
      </c>
      <c r="F87" s="277">
        <f t="shared" si="6"/>
        <v>0</v>
      </c>
      <c r="G87" s="277">
        <f t="shared" si="6"/>
        <v>0</v>
      </c>
      <c r="H87" s="277">
        <f t="shared" si="6"/>
        <v>0</v>
      </c>
    </row>
    <row r="88" spans="1:8">
      <c r="A88" s="48"/>
      <c r="B88" s="48"/>
      <c r="C88" s="48"/>
      <c r="D88" s="48"/>
      <c r="E88" s="48"/>
      <c r="F88" s="48"/>
      <c r="G88" s="48"/>
      <c r="H88" s="48"/>
    </row>
    <row r="89" spans="1:8">
      <c r="A89" s="48"/>
      <c r="B89" s="48"/>
      <c r="C89" s="48"/>
      <c r="D89" s="48"/>
      <c r="E89" s="48"/>
      <c r="F89" s="48"/>
      <c r="G89" s="48"/>
      <c r="H89" s="48"/>
    </row>
    <row r="90" spans="1:8">
      <c r="A90" s="124" t="s">
        <v>304</v>
      </c>
      <c r="B90" s="48"/>
      <c r="C90" s="48"/>
      <c r="D90" s="48"/>
      <c r="E90" s="48"/>
      <c r="F90" s="48"/>
      <c r="G90" s="48"/>
      <c r="H90" s="48"/>
    </row>
    <row r="91" spans="1:8">
      <c r="A91" s="124" t="s">
        <v>305</v>
      </c>
      <c r="B91" s="48"/>
      <c r="C91" s="48"/>
      <c r="D91" s="48"/>
      <c r="E91" s="48"/>
      <c r="F91" s="48"/>
      <c r="G91" s="48"/>
      <c r="H91" s="48"/>
    </row>
  </sheetData>
  <mergeCells count="6">
    <mergeCell ref="A72:B72"/>
    <mergeCell ref="A87:B87"/>
    <mergeCell ref="A4:H4"/>
    <mergeCell ref="A33:B33"/>
    <mergeCell ref="A36:B36"/>
    <mergeCell ref="A54:B54"/>
  </mergeCells>
  <phoneticPr fontId="15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A034-17C4-453D-9469-59F531D08F1F}">
  <dimension ref="B1:I19"/>
  <sheetViews>
    <sheetView zoomScaleNormal="100" workbookViewId="0">
      <selection activeCell="I20" sqref="I20"/>
    </sheetView>
  </sheetViews>
  <sheetFormatPr defaultRowHeight="13.2"/>
  <sheetData>
    <row r="1" spans="2:8">
      <c r="B1" t="s">
        <v>229</v>
      </c>
    </row>
    <row r="2" spans="2:8">
      <c r="B2" t="s">
        <v>230</v>
      </c>
    </row>
    <row r="3" spans="2:8">
      <c r="B3" t="s">
        <v>231</v>
      </c>
    </row>
    <row r="5" spans="2:8">
      <c r="B5" t="s">
        <v>222</v>
      </c>
    </row>
    <row r="7" spans="2:8">
      <c r="B7" s="368"/>
      <c r="C7" s="367" t="s">
        <v>225</v>
      </c>
      <c r="D7" s="367" t="s">
        <v>226</v>
      </c>
      <c r="E7" s="367" t="s">
        <v>228</v>
      </c>
      <c r="F7" s="367" t="s">
        <v>220</v>
      </c>
      <c r="G7" s="367" t="s">
        <v>221</v>
      </c>
      <c r="H7" s="367" t="s">
        <v>223</v>
      </c>
    </row>
    <row r="8" spans="2:8">
      <c r="B8" s="368" t="s">
        <v>224</v>
      </c>
      <c r="C8" s="369">
        <v>1</v>
      </c>
      <c r="D8" s="368"/>
      <c r="E8" s="368"/>
      <c r="F8" s="368"/>
      <c r="G8" s="368"/>
      <c r="H8" s="366"/>
    </row>
    <row r="9" spans="2:8">
      <c r="B9" s="368" t="s">
        <v>227</v>
      </c>
      <c r="C9" s="369">
        <v>-0.1</v>
      </c>
      <c r="D9" s="368"/>
      <c r="E9" s="368"/>
      <c r="F9" s="368"/>
      <c r="G9" s="368"/>
      <c r="H9" s="366"/>
    </row>
    <row r="10" spans="2:8">
      <c r="B10" s="368" t="s">
        <v>227</v>
      </c>
      <c r="C10" s="368"/>
      <c r="D10" s="368"/>
      <c r="E10" s="368"/>
      <c r="F10" s="368"/>
      <c r="G10" s="368"/>
      <c r="H10" s="366"/>
    </row>
    <row r="11" spans="2:8">
      <c r="B11" s="368" t="s">
        <v>227</v>
      </c>
      <c r="C11" s="368"/>
      <c r="D11" s="368"/>
      <c r="E11" s="368"/>
      <c r="F11" s="368"/>
      <c r="G11" s="368"/>
      <c r="H11" s="366"/>
    </row>
    <row r="12" spans="2:8">
      <c r="B12" s="368" t="s">
        <v>227</v>
      </c>
      <c r="C12" s="368"/>
      <c r="D12" s="368"/>
      <c r="E12" s="368"/>
      <c r="F12" s="368"/>
      <c r="G12" s="368"/>
      <c r="H12" s="366"/>
    </row>
    <row r="13" spans="2:8">
      <c r="B13" s="368" t="s">
        <v>227</v>
      </c>
      <c r="C13" s="368"/>
      <c r="D13" s="368"/>
      <c r="E13" s="368"/>
      <c r="F13" s="368"/>
      <c r="G13" s="368"/>
      <c r="H13" s="366"/>
    </row>
    <row r="14" spans="2:8">
      <c r="B14" s="368" t="s">
        <v>227</v>
      </c>
      <c r="C14" s="368"/>
      <c r="D14" s="368"/>
      <c r="E14" s="368"/>
      <c r="F14" s="368"/>
      <c r="G14" s="368"/>
      <c r="H14" s="366"/>
    </row>
    <row r="19" spans="8:9">
      <c r="H19">
        <f>10/17.5</f>
        <v>0.5714285714285714</v>
      </c>
      <c r="I19">
        <f>20/27.5</f>
        <v>0.72727272727272729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VN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Auxil- livre</vt:lpstr>
      <vt:lpstr>F livre</vt:lpstr>
      <vt:lpstr>Avaliação!Print_Area</vt:lpstr>
      <vt:lpstr>Balanço!Print_Area</vt:lpstr>
      <vt:lpstr>'Calculos Auxil- livre'!Print_Area</vt:lpstr>
      <vt:lpstr>'Cash Flow'!Print_Area</vt:lpstr>
      <vt:lpstr>CMVMC!Print_Area</vt:lpstr>
      <vt:lpstr>DR!Print_Area</vt:lpstr>
      <vt:lpstr>Financiamento!Print_Area</vt:lpstr>
      <vt:lpstr>FSE!Print_Area</vt:lpstr>
      <vt:lpstr>FundoManeio!Print_Area</vt:lpstr>
      <vt:lpstr>'Gastos com Pessoal'!Print_Area</vt:lpstr>
      <vt:lpstr>Indicadores!Print_Area</vt:lpstr>
      <vt:lpstr>Investimento!Print_Area</vt:lpstr>
      <vt:lpstr>PlanoFinanceiro!Print_Area</vt:lpstr>
      <vt:lpstr>'Ponto Crítico'!Print_Area</vt:lpstr>
      <vt:lpstr>Pressupostos!Print_Area</vt:lpstr>
      <vt:lpstr>'Regras de Utilização'!Print_Area</vt:lpstr>
      <vt:lpstr>VN!Print_Area</vt:lpstr>
      <vt:lpstr>Financiamento!Print_Titles</vt:lpstr>
      <vt:lpstr>'Gastos com Pessoal'!Print_Titles</vt:lpstr>
      <vt:lpstr>VN!Print_Titles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Martinho José Novo Caeiro</cp:lastModifiedBy>
  <cp:lastPrinted>2019-09-10T09:14:38Z</cp:lastPrinted>
  <dcterms:created xsi:type="dcterms:W3CDTF">2004-06-30T10:12:30Z</dcterms:created>
  <dcterms:modified xsi:type="dcterms:W3CDTF">2025-04-26T17:42:08Z</dcterms:modified>
</cp:coreProperties>
</file>